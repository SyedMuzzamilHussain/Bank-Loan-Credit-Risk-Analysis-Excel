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92CD24-5AD2-4634-B7DE-F9C933995492}" xr6:coauthVersionLast="47" xr6:coauthVersionMax="47" xr10:uidLastSave="{00000000-0000-0000-0000-000000000000}"/>
  <bookViews>
    <workbookView xWindow="-120" yWindow="-120" windowWidth="20640" windowHeight="11040" firstSheet="8" activeTab="8" xr2:uid="{00000000-000D-0000-FFFF-FFFF00000000}"/>
  </bookViews>
  <sheets>
    <sheet name="Pivot Analysis" sheetId="1" r:id="rId1"/>
    <sheet name="Pivot Loan Purpose Analysis" sheetId="2" r:id="rId2"/>
    <sheet name="Pivot Employment" sheetId="3" r:id="rId3"/>
    <sheet name="Pivot Region" sheetId="4" r:id="rId4"/>
    <sheet name="Pivot Credit Score" sheetId="5" r:id="rId5"/>
    <sheet name="Pivot DTI" sheetId="6" r:id="rId6"/>
    <sheet name="Pivot Monthly" sheetId="7" r:id="rId7"/>
    <sheet name="Pivot Status Amount" sheetId="8" r:id="rId8"/>
    <sheet name="Pivot Purpose Amount" sheetId="9" r:id="rId9"/>
    <sheet name="Working Data" sheetId="10" r:id="rId10"/>
    <sheet name="Analysis" sheetId="11" r:id="rId11"/>
    <sheet name="Raw Data" sheetId="12" r:id="rId12"/>
    <sheet name="Dashboard" sheetId="13" r:id="rId13"/>
  </sheets>
  <definedNames>
    <definedName name="_xlnm._FilterDatabase" localSheetId="0" hidden="1">'Pivot Analysis'!$A$1:$B$8</definedName>
    <definedName name="_xlnm._FilterDatabase" localSheetId="4" hidden="1">'Pivot Credit Score'!$A$1:$C$9</definedName>
    <definedName name="_xlnm._FilterDatabase" localSheetId="5" hidden="1">'Pivot DTI'!$A$1:$C$8</definedName>
    <definedName name="_xlnm._FilterDatabase" localSheetId="2" hidden="1">'Pivot Employment'!$A$1:$C$8</definedName>
    <definedName name="_xlnm._FilterDatabase" localSheetId="1" hidden="1">'Pivot Loan Purpose Analysis'!$A$1:$D$11</definedName>
    <definedName name="_xlnm._FilterDatabase" localSheetId="6" hidden="1">'Pivot Monthly'!$A$1:$C$8</definedName>
    <definedName name="_xlnm._FilterDatabase" localSheetId="8" hidden="1">'Pivot Purpose Amount'!$A$1:$C$11</definedName>
    <definedName name="_xlnm._FilterDatabase" localSheetId="3" hidden="1">'Pivot Region'!$A$1:$D$10</definedName>
    <definedName name="_xlnm._FilterDatabase" localSheetId="7" hidden="1">'Pivot Status Amount'!$A$1:$C$9</definedName>
    <definedName name="_xlnm._FilterDatabase" localSheetId="11" hidden="1">'Raw Data'!$A$1:$O$501</definedName>
    <definedName name="_xlnm._FilterDatabase" localSheetId="9" hidden="1">'Working Data'!$A$1:$P$501</definedName>
    <definedName name="_xlnm.Print_Area" localSheetId="10">Analysis!$A$1:$I$103</definedName>
    <definedName name="_xlnm.Print_Area" localSheetId="12">Dashboard!$A$1:$H$85</definedName>
  </definedNames>
  <calcPr calcId="191029" forceFullCalc="1"/>
  <pivotCaches>
    <pivotCache cacheId="14" r:id="rId14"/>
    <pivotCache cacheId="15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3" i="11" l="1"/>
  <c r="F103" i="11"/>
  <c r="G102" i="11"/>
  <c r="F102" i="11"/>
  <c r="G101" i="11"/>
  <c r="F101" i="11"/>
  <c r="G100" i="11"/>
  <c r="F100" i="11"/>
  <c r="G99" i="11"/>
  <c r="F99" i="11"/>
  <c r="G98" i="11"/>
  <c r="F98" i="11"/>
  <c r="G97" i="11"/>
  <c r="F97" i="11"/>
  <c r="G96" i="11"/>
  <c r="F96" i="11"/>
  <c r="G95" i="11"/>
  <c r="F95" i="11"/>
  <c r="G94" i="11"/>
  <c r="F94" i="11"/>
  <c r="G93" i="11"/>
  <c r="F93" i="11"/>
  <c r="G92" i="11"/>
  <c r="F92" i="11"/>
  <c r="G91" i="11"/>
  <c r="F91" i="11"/>
  <c r="G90" i="11"/>
  <c r="F90" i="11"/>
  <c r="G89" i="11"/>
  <c r="F89" i="11"/>
  <c r="G88" i="11"/>
  <c r="F88" i="11"/>
  <c r="G87" i="11"/>
  <c r="F87" i="11"/>
  <c r="G86" i="11"/>
  <c r="F86" i="11"/>
  <c r="G85" i="11"/>
  <c r="F85" i="11"/>
  <c r="G84" i="11"/>
  <c r="F84" i="11"/>
  <c r="G83" i="11"/>
  <c r="F83" i="11"/>
  <c r="G82" i="11"/>
  <c r="F82" i="11"/>
  <c r="G81" i="11"/>
  <c r="F81" i="11"/>
  <c r="G80" i="11"/>
  <c r="F80" i="11"/>
  <c r="G79" i="11"/>
  <c r="F79" i="11"/>
  <c r="G78" i="11"/>
  <c r="F78" i="11"/>
  <c r="G77" i="11"/>
  <c r="F77" i="11"/>
  <c r="G76" i="11"/>
  <c r="F76" i="11"/>
  <c r="G75" i="11"/>
  <c r="F75" i="11"/>
  <c r="G74" i="11"/>
  <c r="F74" i="11"/>
  <c r="G73" i="11"/>
  <c r="F73" i="11"/>
  <c r="G72" i="11"/>
  <c r="F72" i="11"/>
  <c r="G71" i="11"/>
  <c r="F71" i="11"/>
  <c r="G70" i="11"/>
  <c r="F70" i="11"/>
  <c r="G69" i="11"/>
  <c r="F69" i="11"/>
  <c r="G68" i="11"/>
  <c r="F68" i="11"/>
  <c r="E62" i="11"/>
  <c r="E61" i="11"/>
  <c r="B12" i="13" s="1"/>
  <c r="E60" i="11"/>
  <c r="E59" i="11"/>
  <c r="B10" i="13" s="1"/>
  <c r="G36" i="11"/>
  <c r="F36" i="11"/>
  <c r="E36" i="11"/>
  <c r="G35" i="11"/>
  <c r="F35" i="11"/>
  <c r="E35" i="11"/>
  <c r="G34" i="11"/>
  <c r="F34" i="11"/>
  <c r="E34" i="11"/>
  <c r="G33" i="11"/>
  <c r="H33" i="11" s="1"/>
  <c r="F33" i="11"/>
  <c r="E33" i="11"/>
  <c r="G32" i="11"/>
  <c r="F32" i="11"/>
  <c r="E32" i="11"/>
  <c r="F26" i="11"/>
  <c r="E26" i="11"/>
  <c r="F25" i="11"/>
  <c r="E25" i="11"/>
  <c r="F24" i="11"/>
  <c r="E24" i="11"/>
  <c r="G16" i="11"/>
  <c r="F16" i="11"/>
  <c r="E16" i="11"/>
  <c r="E15" i="13" s="1"/>
  <c r="G15" i="11"/>
  <c r="F15" i="11"/>
  <c r="E15" i="11"/>
  <c r="E14" i="13" s="1"/>
  <c r="B15" i="11"/>
  <c r="G14" i="11"/>
  <c r="F14" i="11"/>
  <c r="E14" i="11"/>
  <c r="E13" i="13" s="1"/>
  <c r="B14" i="11"/>
  <c r="E7" i="13" s="1"/>
  <c r="G13" i="11"/>
  <c r="F13" i="11"/>
  <c r="E13" i="11"/>
  <c r="B13" i="11"/>
  <c r="C7" i="13" s="1"/>
  <c r="G12" i="11"/>
  <c r="F12" i="11"/>
  <c r="E12" i="11"/>
  <c r="E11" i="13" s="1"/>
  <c r="B12" i="11"/>
  <c r="G7" i="13" s="1"/>
  <c r="G11" i="11"/>
  <c r="F11" i="11"/>
  <c r="E11" i="11"/>
  <c r="B11" i="11"/>
  <c r="A7" i="13" s="1"/>
  <c r="B10" i="11"/>
  <c r="G4" i="13" s="1"/>
  <c r="B9" i="11"/>
  <c r="B8" i="11"/>
  <c r="B7" i="11"/>
  <c r="B6" i="11"/>
  <c r="B5" i="11"/>
  <c r="E4" i="13" s="1"/>
  <c r="B4" i="11"/>
  <c r="C4" i="13" s="1"/>
  <c r="B3" i="11"/>
  <c r="A4" i="13" s="1"/>
  <c r="P501" i="10"/>
  <c r="O501" i="10"/>
  <c r="P500" i="10"/>
  <c r="O500" i="10"/>
  <c r="P499" i="10"/>
  <c r="O499" i="10"/>
  <c r="P498" i="10"/>
  <c r="O498" i="10"/>
  <c r="P497" i="10"/>
  <c r="O497" i="10"/>
  <c r="P496" i="10"/>
  <c r="O496" i="10"/>
  <c r="P495" i="10"/>
  <c r="O495" i="10"/>
  <c r="P494" i="10"/>
  <c r="O494" i="10"/>
  <c r="P493" i="10"/>
  <c r="O493" i="10"/>
  <c r="P492" i="10"/>
  <c r="O492" i="10"/>
  <c r="P491" i="10"/>
  <c r="O491" i="10"/>
  <c r="P490" i="10"/>
  <c r="O490" i="10"/>
  <c r="P489" i="10"/>
  <c r="O489" i="10"/>
  <c r="P488" i="10"/>
  <c r="O488" i="10"/>
  <c r="P487" i="10"/>
  <c r="O487" i="10"/>
  <c r="P486" i="10"/>
  <c r="O486" i="10"/>
  <c r="P485" i="10"/>
  <c r="O485" i="10"/>
  <c r="P484" i="10"/>
  <c r="O484" i="10"/>
  <c r="P483" i="10"/>
  <c r="O483" i="10"/>
  <c r="P482" i="10"/>
  <c r="O482" i="10"/>
  <c r="P481" i="10"/>
  <c r="O481" i="10"/>
  <c r="P480" i="10"/>
  <c r="O480" i="10"/>
  <c r="P479" i="10"/>
  <c r="O479" i="10"/>
  <c r="P478" i="10"/>
  <c r="O478" i="10"/>
  <c r="P477" i="10"/>
  <c r="O477" i="10"/>
  <c r="P476" i="10"/>
  <c r="O476" i="10"/>
  <c r="P475" i="10"/>
  <c r="O475" i="10"/>
  <c r="P474" i="10"/>
  <c r="O474" i="10"/>
  <c r="P473" i="10"/>
  <c r="O473" i="10"/>
  <c r="P472" i="10"/>
  <c r="O472" i="10"/>
  <c r="P471" i="10"/>
  <c r="O471" i="10"/>
  <c r="P470" i="10"/>
  <c r="O470" i="10"/>
  <c r="P469" i="10"/>
  <c r="O469" i="10"/>
  <c r="P468" i="10"/>
  <c r="O468" i="10"/>
  <c r="P467" i="10"/>
  <c r="O467" i="10"/>
  <c r="P466" i="10"/>
  <c r="O466" i="10"/>
  <c r="P465" i="10"/>
  <c r="O465" i="10"/>
  <c r="P464" i="10"/>
  <c r="O464" i="10"/>
  <c r="P463" i="10"/>
  <c r="O463" i="10"/>
  <c r="P462" i="10"/>
  <c r="O462" i="10"/>
  <c r="P461" i="10"/>
  <c r="O461" i="10"/>
  <c r="P460" i="10"/>
  <c r="O460" i="10"/>
  <c r="P459" i="10"/>
  <c r="O459" i="10"/>
  <c r="P458" i="10"/>
  <c r="O458" i="10"/>
  <c r="P457" i="10"/>
  <c r="O457" i="10"/>
  <c r="P456" i="10"/>
  <c r="O456" i="10"/>
  <c r="P455" i="10"/>
  <c r="O455" i="10"/>
  <c r="P454" i="10"/>
  <c r="O454" i="10"/>
  <c r="P453" i="10"/>
  <c r="O453" i="10"/>
  <c r="P452" i="10"/>
  <c r="O452" i="10"/>
  <c r="P451" i="10"/>
  <c r="O451" i="10"/>
  <c r="P450" i="10"/>
  <c r="O450" i="10"/>
  <c r="P449" i="10"/>
  <c r="O449" i="10"/>
  <c r="P448" i="10"/>
  <c r="O448" i="10"/>
  <c r="P447" i="10"/>
  <c r="O447" i="10"/>
  <c r="P446" i="10"/>
  <c r="O446" i="10"/>
  <c r="P445" i="10"/>
  <c r="O445" i="10"/>
  <c r="P444" i="10"/>
  <c r="O444" i="10"/>
  <c r="P443" i="10"/>
  <c r="O443" i="10"/>
  <c r="P442" i="10"/>
  <c r="O442" i="10"/>
  <c r="P441" i="10"/>
  <c r="O441" i="10"/>
  <c r="P440" i="10"/>
  <c r="O440" i="10"/>
  <c r="P439" i="10"/>
  <c r="O439" i="10"/>
  <c r="P438" i="10"/>
  <c r="O438" i="10"/>
  <c r="P437" i="10"/>
  <c r="O437" i="10"/>
  <c r="P436" i="10"/>
  <c r="O436" i="10"/>
  <c r="P435" i="10"/>
  <c r="O435" i="10"/>
  <c r="P434" i="10"/>
  <c r="O434" i="10"/>
  <c r="P433" i="10"/>
  <c r="O433" i="10"/>
  <c r="P432" i="10"/>
  <c r="O432" i="10"/>
  <c r="P431" i="10"/>
  <c r="O431" i="10"/>
  <c r="P430" i="10"/>
  <c r="O430" i="10"/>
  <c r="P429" i="10"/>
  <c r="O429" i="10"/>
  <c r="P428" i="10"/>
  <c r="O428" i="10"/>
  <c r="P427" i="10"/>
  <c r="O427" i="10"/>
  <c r="P426" i="10"/>
  <c r="O426" i="10"/>
  <c r="P425" i="10"/>
  <c r="O425" i="10"/>
  <c r="P424" i="10"/>
  <c r="O424" i="10"/>
  <c r="P423" i="10"/>
  <c r="O423" i="10"/>
  <c r="P422" i="10"/>
  <c r="O422" i="10"/>
  <c r="P421" i="10"/>
  <c r="O421" i="10"/>
  <c r="P420" i="10"/>
  <c r="O420" i="10"/>
  <c r="P419" i="10"/>
  <c r="O419" i="10"/>
  <c r="P418" i="10"/>
  <c r="O418" i="10"/>
  <c r="P417" i="10"/>
  <c r="O417" i="10"/>
  <c r="P416" i="10"/>
  <c r="O416" i="10"/>
  <c r="P415" i="10"/>
  <c r="O415" i="10"/>
  <c r="P414" i="10"/>
  <c r="O414" i="10"/>
  <c r="P413" i="10"/>
  <c r="O413" i="10"/>
  <c r="P412" i="10"/>
  <c r="O412" i="10"/>
  <c r="P411" i="10"/>
  <c r="O411" i="10"/>
  <c r="P410" i="10"/>
  <c r="O410" i="10"/>
  <c r="P409" i="10"/>
  <c r="O409" i="10"/>
  <c r="P408" i="10"/>
  <c r="O408" i="10"/>
  <c r="P407" i="10"/>
  <c r="O407" i="10"/>
  <c r="P406" i="10"/>
  <c r="O406" i="10"/>
  <c r="P405" i="10"/>
  <c r="O405" i="10"/>
  <c r="P404" i="10"/>
  <c r="O404" i="10"/>
  <c r="P403" i="10"/>
  <c r="O403" i="10"/>
  <c r="P402" i="10"/>
  <c r="O402" i="10"/>
  <c r="P401" i="10"/>
  <c r="O401" i="10"/>
  <c r="P400" i="10"/>
  <c r="O400" i="10"/>
  <c r="P399" i="10"/>
  <c r="O399" i="10"/>
  <c r="P398" i="10"/>
  <c r="O398" i="10"/>
  <c r="P397" i="10"/>
  <c r="O397" i="10"/>
  <c r="P396" i="10"/>
  <c r="O396" i="10"/>
  <c r="P395" i="10"/>
  <c r="O395" i="10"/>
  <c r="P394" i="10"/>
  <c r="O394" i="10"/>
  <c r="P393" i="10"/>
  <c r="O393" i="10"/>
  <c r="P392" i="10"/>
  <c r="O392" i="10"/>
  <c r="P391" i="10"/>
  <c r="O391" i="10"/>
  <c r="P390" i="10"/>
  <c r="O390" i="10"/>
  <c r="P389" i="10"/>
  <c r="O389" i="10"/>
  <c r="P388" i="10"/>
  <c r="O388" i="10"/>
  <c r="P387" i="10"/>
  <c r="O387" i="10"/>
  <c r="P386" i="10"/>
  <c r="O386" i="10"/>
  <c r="P385" i="10"/>
  <c r="O385" i="10"/>
  <c r="P384" i="10"/>
  <c r="O384" i="10"/>
  <c r="P383" i="10"/>
  <c r="O383" i="10"/>
  <c r="P382" i="10"/>
  <c r="O382" i="10"/>
  <c r="P381" i="10"/>
  <c r="O381" i="10"/>
  <c r="P380" i="10"/>
  <c r="O380" i="10"/>
  <c r="P379" i="10"/>
  <c r="O379" i="10"/>
  <c r="P378" i="10"/>
  <c r="O378" i="10"/>
  <c r="P377" i="10"/>
  <c r="O377" i="10"/>
  <c r="P376" i="10"/>
  <c r="O376" i="10"/>
  <c r="P375" i="10"/>
  <c r="O375" i="10"/>
  <c r="P374" i="10"/>
  <c r="O374" i="10"/>
  <c r="P373" i="10"/>
  <c r="O373" i="10"/>
  <c r="P372" i="10"/>
  <c r="O372" i="10"/>
  <c r="P371" i="10"/>
  <c r="O371" i="10"/>
  <c r="P370" i="10"/>
  <c r="O370" i="10"/>
  <c r="P369" i="10"/>
  <c r="O369" i="10"/>
  <c r="P368" i="10"/>
  <c r="O368" i="10"/>
  <c r="P367" i="10"/>
  <c r="O367" i="10"/>
  <c r="P366" i="10"/>
  <c r="O366" i="10"/>
  <c r="P365" i="10"/>
  <c r="O365" i="10"/>
  <c r="P364" i="10"/>
  <c r="O364" i="10"/>
  <c r="P363" i="10"/>
  <c r="O363" i="10"/>
  <c r="P362" i="10"/>
  <c r="O362" i="10"/>
  <c r="P361" i="10"/>
  <c r="O361" i="10"/>
  <c r="P360" i="10"/>
  <c r="O360" i="10"/>
  <c r="P359" i="10"/>
  <c r="O359" i="10"/>
  <c r="P358" i="10"/>
  <c r="O358" i="10"/>
  <c r="P357" i="10"/>
  <c r="O357" i="10"/>
  <c r="P356" i="10"/>
  <c r="O356" i="10"/>
  <c r="P355" i="10"/>
  <c r="O355" i="10"/>
  <c r="P354" i="10"/>
  <c r="O354" i="10"/>
  <c r="P353" i="10"/>
  <c r="O353" i="10"/>
  <c r="P352" i="10"/>
  <c r="O352" i="10"/>
  <c r="P351" i="10"/>
  <c r="O351" i="10"/>
  <c r="P350" i="10"/>
  <c r="O350" i="10"/>
  <c r="P349" i="10"/>
  <c r="O349" i="10"/>
  <c r="P348" i="10"/>
  <c r="O348" i="10"/>
  <c r="P347" i="10"/>
  <c r="O347" i="10"/>
  <c r="P346" i="10"/>
  <c r="O346" i="10"/>
  <c r="P345" i="10"/>
  <c r="O345" i="10"/>
  <c r="P344" i="10"/>
  <c r="O344" i="10"/>
  <c r="P343" i="10"/>
  <c r="O343" i="10"/>
  <c r="P342" i="10"/>
  <c r="O342" i="10"/>
  <c r="P341" i="10"/>
  <c r="O341" i="10"/>
  <c r="P340" i="10"/>
  <c r="O340" i="10"/>
  <c r="P339" i="10"/>
  <c r="O339" i="10"/>
  <c r="P338" i="10"/>
  <c r="O338" i="10"/>
  <c r="P337" i="10"/>
  <c r="O337" i="10"/>
  <c r="P336" i="10"/>
  <c r="O336" i="10"/>
  <c r="P335" i="10"/>
  <c r="O335" i="10"/>
  <c r="P334" i="10"/>
  <c r="O334" i="10"/>
  <c r="P333" i="10"/>
  <c r="O333" i="10"/>
  <c r="P332" i="10"/>
  <c r="O332" i="10"/>
  <c r="P331" i="10"/>
  <c r="O331" i="10"/>
  <c r="P330" i="10"/>
  <c r="O330" i="10"/>
  <c r="P329" i="10"/>
  <c r="O329" i="10"/>
  <c r="P328" i="10"/>
  <c r="O328" i="10"/>
  <c r="P327" i="10"/>
  <c r="O327" i="10"/>
  <c r="P326" i="10"/>
  <c r="O326" i="10"/>
  <c r="P325" i="10"/>
  <c r="O325" i="10"/>
  <c r="P324" i="10"/>
  <c r="O324" i="10"/>
  <c r="P323" i="10"/>
  <c r="O323" i="10"/>
  <c r="P322" i="10"/>
  <c r="O322" i="10"/>
  <c r="P321" i="10"/>
  <c r="O321" i="10"/>
  <c r="P320" i="10"/>
  <c r="O320" i="10"/>
  <c r="P319" i="10"/>
  <c r="O319" i="10"/>
  <c r="P318" i="10"/>
  <c r="O318" i="10"/>
  <c r="P317" i="10"/>
  <c r="O317" i="10"/>
  <c r="P316" i="10"/>
  <c r="O316" i="10"/>
  <c r="P315" i="10"/>
  <c r="O315" i="10"/>
  <c r="P314" i="10"/>
  <c r="O314" i="10"/>
  <c r="P313" i="10"/>
  <c r="O313" i="10"/>
  <c r="P312" i="10"/>
  <c r="O312" i="10"/>
  <c r="P311" i="10"/>
  <c r="O311" i="10"/>
  <c r="P310" i="10"/>
  <c r="O310" i="10"/>
  <c r="P309" i="10"/>
  <c r="O309" i="10"/>
  <c r="P308" i="10"/>
  <c r="O308" i="10"/>
  <c r="P307" i="10"/>
  <c r="O307" i="10"/>
  <c r="P306" i="10"/>
  <c r="O306" i="10"/>
  <c r="P305" i="10"/>
  <c r="O305" i="10"/>
  <c r="P304" i="10"/>
  <c r="O304" i="10"/>
  <c r="P303" i="10"/>
  <c r="O303" i="10"/>
  <c r="P302" i="10"/>
  <c r="O302" i="10"/>
  <c r="P301" i="10"/>
  <c r="O301" i="10"/>
  <c r="P300" i="10"/>
  <c r="O300" i="10"/>
  <c r="P299" i="10"/>
  <c r="O299" i="10"/>
  <c r="P298" i="10"/>
  <c r="O298" i="10"/>
  <c r="P297" i="10"/>
  <c r="O297" i="10"/>
  <c r="P296" i="10"/>
  <c r="O296" i="10"/>
  <c r="P295" i="10"/>
  <c r="O295" i="10"/>
  <c r="P294" i="10"/>
  <c r="O294" i="10"/>
  <c r="P293" i="10"/>
  <c r="O293" i="10"/>
  <c r="P292" i="10"/>
  <c r="O292" i="10"/>
  <c r="P291" i="10"/>
  <c r="O291" i="10"/>
  <c r="P290" i="10"/>
  <c r="O290" i="10"/>
  <c r="P289" i="10"/>
  <c r="O289" i="10"/>
  <c r="P288" i="10"/>
  <c r="O288" i="10"/>
  <c r="P287" i="10"/>
  <c r="O287" i="10"/>
  <c r="P286" i="10"/>
  <c r="O286" i="10"/>
  <c r="P285" i="10"/>
  <c r="O285" i="10"/>
  <c r="P284" i="10"/>
  <c r="O284" i="10"/>
  <c r="P283" i="10"/>
  <c r="O283" i="10"/>
  <c r="P282" i="10"/>
  <c r="O282" i="10"/>
  <c r="P281" i="10"/>
  <c r="O281" i="10"/>
  <c r="P280" i="10"/>
  <c r="O280" i="10"/>
  <c r="P279" i="10"/>
  <c r="O279" i="10"/>
  <c r="P278" i="10"/>
  <c r="O278" i="10"/>
  <c r="P277" i="10"/>
  <c r="O277" i="10"/>
  <c r="P276" i="10"/>
  <c r="O276" i="10"/>
  <c r="P275" i="10"/>
  <c r="O275" i="10"/>
  <c r="P274" i="10"/>
  <c r="O274" i="10"/>
  <c r="P273" i="10"/>
  <c r="O273" i="10"/>
  <c r="P272" i="10"/>
  <c r="O272" i="10"/>
  <c r="P271" i="10"/>
  <c r="O271" i="10"/>
  <c r="P270" i="10"/>
  <c r="O270" i="10"/>
  <c r="P269" i="10"/>
  <c r="O269" i="10"/>
  <c r="P268" i="10"/>
  <c r="O268" i="10"/>
  <c r="P267" i="10"/>
  <c r="O267" i="10"/>
  <c r="P266" i="10"/>
  <c r="O266" i="10"/>
  <c r="P265" i="10"/>
  <c r="O265" i="10"/>
  <c r="P264" i="10"/>
  <c r="O264" i="10"/>
  <c r="P263" i="10"/>
  <c r="O263" i="10"/>
  <c r="P262" i="10"/>
  <c r="O262" i="10"/>
  <c r="P261" i="10"/>
  <c r="O261" i="10"/>
  <c r="P260" i="10"/>
  <c r="O260" i="10"/>
  <c r="P259" i="10"/>
  <c r="O259" i="10"/>
  <c r="P258" i="10"/>
  <c r="O258" i="10"/>
  <c r="P257" i="10"/>
  <c r="O257" i="10"/>
  <c r="P256" i="10"/>
  <c r="O256" i="10"/>
  <c r="P255" i="10"/>
  <c r="O255" i="10"/>
  <c r="P254" i="10"/>
  <c r="O254" i="10"/>
  <c r="P253" i="10"/>
  <c r="O253" i="10"/>
  <c r="P252" i="10"/>
  <c r="O252" i="10"/>
  <c r="P251" i="10"/>
  <c r="O251" i="10"/>
  <c r="P250" i="10"/>
  <c r="O250" i="10"/>
  <c r="P249" i="10"/>
  <c r="O249" i="10"/>
  <c r="P248" i="10"/>
  <c r="O248" i="10"/>
  <c r="P247" i="10"/>
  <c r="O247" i="10"/>
  <c r="P246" i="10"/>
  <c r="O246" i="10"/>
  <c r="P245" i="10"/>
  <c r="O245" i="10"/>
  <c r="P244" i="10"/>
  <c r="O244" i="10"/>
  <c r="P243" i="10"/>
  <c r="O243" i="10"/>
  <c r="P242" i="10"/>
  <c r="O242" i="10"/>
  <c r="P241" i="10"/>
  <c r="O241" i="10"/>
  <c r="P240" i="10"/>
  <c r="O240" i="10"/>
  <c r="P239" i="10"/>
  <c r="O239" i="10"/>
  <c r="P238" i="10"/>
  <c r="O238" i="10"/>
  <c r="P237" i="10"/>
  <c r="O237" i="10"/>
  <c r="P236" i="10"/>
  <c r="O236" i="10"/>
  <c r="P235" i="10"/>
  <c r="O235" i="10"/>
  <c r="P234" i="10"/>
  <c r="O234" i="10"/>
  <c r="P233" i="10"/>
  <c r="O233" i="10"/>
  <c r="P232" i="10"/>
  <c r="O232" i="10"/>
  <c r="P231" i="10"/>
  <c r="O231" i="10"/>
  <c r="P230" i="10"/>
  <c r="O230" i="10"/>
  <c r="P229" i="10"/>
  <c r="O229" i="10"/>
  <c r="P228" i="10"/>
  <c r="O228" i="10"/>
  <c r="P227" i="10"/>
  <c r="O227" i="10"/>
  <c r="P226" i="10"/>
  <c r="O226" i="10"/>
  <c r="P225" i="10"/>
  <c r="O225" i="10"/>
  <c r="P224" i="10"/>
  <c r="O224" i="10"/>
  <c r="P223" i="10"/>
  <c r="O223" i="10"/>
  <c r="P222" i="10"/>
  <c r="O222" i="10"/>
  <c r="P221" i="10"/>
  <c r="O221" i="10"/>
  <c r="P220" i="10"/>
  <c r="O220" i="10"/>
  <c r="P219" i="10"/>
  <c r="O219" i="10"/>
  <c r="P218" i="10"/>
  <c r="O218" i="10"/>
  <c r="P217" i="10"/>
  <c r="O217" i="10"/>
  <c r="P216" i="10"/>
  <c r="O216" i="10"/>
  <c r="P215" i="10"/>
  <c r="O215" i="10"/>
  <c r="P214" i="10"/>
  <c r="O214" i="10"/>
  <c r="P213" i="10"/>
  <c r="O213" i="10"/>
  <c r="P212" i="10"/>
  <c r="O212" i="10"/>
  <c r="P211" i="10"/>
  <c r="O211" i="10"/>
  <c r="P210" i="10"/>
  <c r="O210" i="10"/>
  <c r="P209" i="10"/>
  <c r="O209" i="10"/>
  <c r="P208" i="10"/>
  <c r="O208" i="10"/>
  <c r="P207" i="10"/>
  <c r="O207" i="10"/>
  <c r="P206" i="10"/>
  <c r="O206" i="10"/>
  <c r="P205" i="10"/>
  <c r="O205" i="10"/>
  <c r="P204" i="10"/>
  <c r="O204" i="10"/>
  <c r="P203" i="10"/>
  <c r="O203" i="10"/>
  <c r="P202" i="10"/>
  <c r="O202" i="10"/>
  <c r="P201" i="10"/>
  <c r="O201" i="10"/>
  <c r="P200" i="10"/>
  <c r="O200" i="10"/>
  <c r="P199" i="10"/>
  <c r="O199" i="10"/>
  <c r="P198" i="10"/>
  <c r="O198" i="10"/>
  <c r="P197" i="10"/>
  <c r="O197" i="10"/>
  <c r="P196" i="10"/>
  <c r="O196" i="10"/>
  <c r="P195" i="10"/>
  <c r="O195" i="10"/>
  <c r="P194" i="10"/>
  <c r="O194" i="10"/>
  <c r="P193" i="10"/>
  <c r="O193" i="10"/>
  <c r="P192" i="10"/>
  <c r="O192" i="10"/>
  <c r="P191" i="10"/>
  <c r="O191" i="10"/>
  <c r="P190" i="10"/>
  <c r="O190" i="10"/>
  <c r="P189" i="10"/>
  <c r="O189" i="10"/>
  <c r="P188" i="10"/>
  <c r="O188" i="10"/>
  <c r="P187" i="10"/>
  <c r="O187" i="10"/>
  <c r="P186" i="10"/>
  <c r="O186" i="10"/>
  <c r="P185" i="10"/>
  <c r="O185" i="10"/>
  <c r="P184" i="10"/>
  <c r="O184" i="10"/>
  <c r="P183" i="10"/>
  <c r="O183" i="10"/>
  <c r="P182" i="10"/>
  <c r="O182" i="10"/>
  <c r="P181" i="10"/>
  <c r="O181" i="10"/>
  <c r="P180" i="10"/>
  <c r="O180" i="10"/>
  <c r="P179" i="10"/>
  <c r="O179" i="10"/>
  <c r="P178" i="10"/>
  <c r="O178" i="10"/>
  <c r="P177" i="10"/>
  <c r="O177" i="10"/>
  <c r="P176" i="10"/>
  <c r="O176" i="10"/>
  <c r="P175" i="10"/>
  <c r="O175" i="10"/>
  <c r="P174" i="10"/>
  <c r="O174" i="10"/>
  <c r="P173" i="10"/>
  <c r="O173" i="10"/>
  <c r="P172" i="10"/>
  <c r="O172" i="10"/>
  <c r="P171" i="10"/>
  <c r="O171" i="10"/>
  <c r="P170" i="10"/>
  <c r="O170" i="10"/>
  <c r="P169" i="10"/>
  <c r="O169" i="10"/>
  <c r="P168" i="10"/>
  <c r="O168" i="10"/>
  <c r="P167" i="10"/>
  <c r="O167" i="10"/>
  <c r="P166" i="10"/>
  <c r="O166" i="10"/>
  <c r="P165" i="10"/>
  <c r="O165" i="10"/>
  <c r="P164" i="10"/>
  <c r="O164" i="10"/>
  <c r="P163" i="10"/>
  <c r="O163" i="10"/>
  <c r="P162" i="10"/>
  <c r="O162" i="10"/>
  <c r="P161" i="10"/>
  <c r="O161" i="10"/>
  <c r="P160" i="10"/>
  <c r="O160" i="10"/>
  <c r="P159" i="10"/>
  <c r="O159" i="10"/>
  <c r="P158" i="10"/>
  <c r="O158" i="10"/>
  <c r="P157" i="10"/>
  <c r="O157" i="10"/>
  <c r="P156" i="10"/>
  <c r="O156" i="10"/>
  <c r="P155" i="10"/>
  <c r="O155" i="10"/>
  <c r="P154" i="10"/>
  <c r="O154" i="10"/>
  <c r="P153" i="10"/>
  <c r="O153" i="10"/>
  <c r="P152" i="10"/>
  <c r="O152" i="10"/>
  <c r="P151" i="10"/>
  <c r="O151" i="10"/>
  <c r="P150" i="10"/>
  <c r="O150" i="10"/>
  <c r="P149" i="10"/>
  <c r="O149" i="10"/>
  <c r="P148" i="10"/>
  <c r="O148" i="10"/>
  <c r="P147" i="10"/>
  <c r="O147" i="10"/>
  <c r="P146" i="10"/>
  <c r="O146" i="10"/>
  <c r="P145" i="10"/>
  <c r="O145" i="10"/>
  <c r="P144" i="10"/>
  <c r="O144" i="10"/>
  <c r="P143" i="10"/>
  <c r="O143" i="10"/>
  <c r="P142" i="10"/>
  <c r="O142" i="10"/>
  <c r="P141" i="10"/>
  <c r="O141" i="10"/>
  <c r="P140" i="10"/>
  <c r="O140" i="10"/>
  <c r="P139" i="10"/>
  <c r="O139" i="10"/>
  <c r="P138" i="10"/>
  <c r="O138" i="10"/>
  <c r="P137" i="10"/>
  <c r="O137" i="10"/>
  <c r="P136" i="10"/>
  <c r="O136" i="10"/>
  <c r="P135" i="10"/>
  <c r="O135" i="10"/>
  <c r="P134" i="10"/>
  <c r="O134" i="10"/>
  <c r="P133" i="10"/>
  <c r="O133" i="10"/>
  <c r="P132" i="10"/>
  <c r="O132" i="10"/>
  <c r="P131" i="10"/>
  <c r="O131" i="10"/>
  <c r="P130" i="10"/>
  <c r="O130" i="10"/>
  <c r="P129" i="10"/>
  <c r="O129" i="10"/>
  <c r="P128" i="10"/>
  <c r="O128" i="10"/>
  <c r="P127" i="10"/>
  <c r="O127" i="10"/>
  <c r="P126" i="10"/>
  <c r="O126" i="10"/>
  <c r="P125" i="10"/>
  <c r="O125" i="10"/>
  <c r="P124" i="10"/>
  <c r="O124" i="10"/>
  <c r="P123" i="10"/>
  <c r="O123" i="10"/>
  <c r="P122" i="10"/>
  <c r="O122" i="10"/>
  <c r="P121" i="10"/>
  <c r="O121" i="10"/>
  <c r="P120" i="10"/>
  <c r="O120" i="10"/>
  <c r="P119" i="10"/>
  <c r="O119" i="10"/>
  <c r="P118" i="10"/>
  <c r="O118" i="10"/>
  <c r="P117" i="10"/>
  <c r="O117" i="10"/>
  <c r="P116" i="10"/>
  <c r="O116" i="10"/>
  <c r="P115" i="10"/>
  <c r="O115" i="10"/>
  <c r="P114" i="10"/>
  <c r="O114" i="10"/>
  <c r="P113" i="10"/>
  <c r="O113" i="10"/>
  <c r="P112" i="10"/>
  <c r="O112" i="10"/>
  <c r="P111" i="10"/>
  <c r="O111" i="10"/>
  <c r="P110" i="10"/>
  <c r="O110" i="10"/>
  <c r="P109" i="10"/>
  <c r="O109" i="10"/>
  <c r="P108" i="10"/>
  <c r="O108" i="10"/>
  <c r="P107" i="10"/>
  <c r="O107" i="10"/>
  <c r="P106" i="10"/>
  <c r="O106" i="10"/>
  <c r="P105" i="10"/>
  <c r="O105" i="10"/>
  <c r="P104" i="10"/>
  <c r="O104" i="10"/>
  <c r="P103" i="10"/>
  <c r="O103" i="10"/>
  <c r="P102" i="10"/>
  <c r="O102" i="10"/>
  <c r="P101" i="10"/>
  <c r="O101" i="10"/>
  <c r="P100" i="10"/>
  <c r="O100" i="10"/>
  <c r="P99" i="10"/>
  <c r="O99" i="10"/>
  <c r="P98" i="10"/>
  <c r="O98" i="10"/>
  <c r="P97" i="10"/>
  <c r="O97" i="10"/>
  <c r="P96" i="10"/>
  <c r="O96" i="10"/>
  <c r="P95" i="10"/>
  <c r="O95" i="10"/>
  <c r="P94" i="10"/>
  <c r="O94" i="10"/>
  <c r="P93" i="10"/>
  <c r="O93" i="10"/>
  <c r="P92" i="10"/>
  <c r="O92" i="10"/>
  <c r="P91" i="10"/>
  <c r="O91" i="10"/>
  <c r="P90" i="10"/>
  <c r="O90" i="10"/>
  <c r="P89" i="10"/>
  <c r="O89" i="10"/>
  <c r="P88" i="10"/>
  <c r="O88" i="10"/>
  <c r="P87" i="10"/>
  <c r="O87" i="10"/>
  <c r="P86" i="10"/>
  <c r="O86" i="10"/>
  <c r="P85" i="10"/>
  <c r="O85" i="10"/>
  <c r="P84" i="10"/>
  <c r="O84" i="10"/>
  <c r="P83" i="10"/>
  <c r="O83" i="10"/>
  <c r="P82" i="10"/>
  <c r="O82" i="10"/>
  <c r="P81" i="10"/>
  <c r="O81" i="10"/>
  <c r="P80" i="10"/>
  <c r="O80" i="10"/>
  <c r="P79" i="10"/>
  <c r="O79" i="10"/>
  <c r="P78" i="10"/>
  <c r="O78" i="10"/>
  <c r="P77" i="10"/>
  <c r="O77" i="10"/>
  <c r="P76" i="10"/>
  <c r="O76" i="10"/>
  <c r="P75" i="10"/>
  <c r="O75" i="10"/>
  <c r="P74" i="10"/>
  <c r="O74" i="10"/>
  <c r="P73" i="10"/>
  <c r="O73" i="10"/>
  <c r="P72" i="10"/>
  <c r="O72" i="10"/>
  <c r="P71" i="10"/>
  <c r="O71" i="10"/>
  <c r="P70" i="10"/>
  <c r="O70" i="10"/>
  <c r="P69" i="10"/>
  <c r="O69" i="10"/>
  <c r="P68" i="10"/>
  <c r="O68" i="10"/>
  <c r="P67" i="10"/>
  <c r="O67" i="10"/>
  <c r="P66" i="10"/>
  <c r="O66" i="10"/>
  <c r="P65" i="10"/>
  <c r="O65" i="10"/>
  <c r="P64" i="10"/>
  <c r="O64" i="10"/>
  <c r="P63" i="10"/>
  <c r="O63" i="10"/>
  <c r="P62" i="10"/>
  <c r="O62" i="10"/>
  <c r="P61" i="10"/>
  <c r="O61" i="10"/>
  <c r="P60" i="10"/>
  <c r="O60" i="10"/>
  <c r="P59" i="10"/>
  <c r="O59" i="10"/>
  <c r="P58" i="10"/>
  <c r="O58" i="10"/>
  <c r="P57" i="10"/>
  <c r="O57" i="10"/>
  <c r="P56" i="10"/>
  <c r="O56" i="10"/>
  <c r="P55" i="10"/>
  <c r="O55" i="10"/>
  <c r="P54" i="10"/>
  <c r="O54" i="10"/>
  <c r="P53" i="10"/>
  <c r="O53" i="10"/>
  <c r="P52" i="10"/>
  <c r="O52" i="10"/>
  <c r="P51" i="10"/>
  <c r="O51" i="10"/>
  <c r="P50" i="10"/>
  <c r="O50" i="10"/>
  <c r="P49" i="10"/>
  <c r="O49" i="10"/>
  <c r="P48" i="10"/>
  <c r="O48" i="10"/>
  <c r="P47" i="10"/>
  <c r="O47" i="10"/>
  <c r="P46" i="10"/>
  <c r="O46" i="10"/>
  <c r="P45" i="10"/>
  <c r="O45" i="10"/>
  <c r="P44" i="10"/>
  <c r="O44" i="10"/>
  <c r="P43" i="10"/>
  <c r="O43" i="10"/>
  <c r="P42" i="10"/>
  <c r="O42" i="10"/>
  <c r="P41" i="10"/>
  <c r="O41" i="10"/>
  <c r="P40" i="10"/>
  <c r="O40" i="10"/>
  <c r="P39" i="10"/>
  <c r="O39" i="10"/>
  <c r="P38" i="10"/>
  <c r="O38" i="10"/>
  <c r="P37" i="10"/>
  <c r="O37" i="10"/>
  <c r="P36" i="10"/>
  <c r="O36" i="10"/>
  <c r="P35" i="10"/>
  <c r="O35" i="10"/>
  <c r="P34" i="10"/>
  <c r="O34" i="10"/>
  <c r="P33" i="10"/>
  <c r="O33" i="10"/>
  <c r="P32" i="10"/>
  <c r="O32" i="10"/>
  <c r="P31" i="10"/>
  <c r="O31" i="10"/>
  <c r="P30" i="10"/>
  <c r="O30" i="10"/>
  <c r="P29" i="10"/>
  <c r="O29" i="10"/>
  <c r="P28" i="10"/>
  <c r="O28" i="10"/>
  <c r="P27" i="10"/>
  <c r="O27" i="10"/>
  <c r="P26" i="10"/>
  <c r="O26" i="10"/>
  <c r="P25" i="10"/>
  <c r="O25" i="10"/>
  <c r="P24" i="10"/>
  <c r="O24" i="10"/>
  <c r="P23" i="10"/>
  <c r="O23" i="10"/>
  <c r="P22" i="10"/>
  <c r="O22" i="10"/>
  <c r="P21" i="10"/>
  <c r="O21" i="10"/>
  <c r="P20" i="10"/>
  <c r="O20" i="10"/>
  <c r="P19" i="10"/>
  <c r="O19" i="10"/>
  <c r="P18" i="10"/>
  <c r="O18" i="10"/>
  <c r="P17" i="10"/>
  <c r="O17" i="10"/>
  <c r="P16" i="10"/>
  <c r="O16" i="10"/>
  <c r="P15" i="10"/>
  <c r="O15" i="10"/>
  <c r="P14" i="10"/>
  <c r="O14" i="10"/>
  <c r="P13" i="10"/>
  <c r="O13" i="10"/>
  <c r="P12" i="10"/>
  <c r="O12" i="10"/>
  <c r="P11" i="10"/>
  <c r="O11" i="10"/>
  <c r="P10" i="10"/>
  <c r="O10" i="10"/>
  <c r="P9" i="10"/>
  <c r="O9" i="10"/>
  <c r="P8" i="10"/>
  <c r="O8" i="10"/>
  <c r="P7" i="10"/>
  <c r="O7" i="10"/>
  <c r="P6" i="10"/>
  <c r="O6" i="10"/>
  <c r="P5" i="10"/>
  <c r="O5" i="10"/>
  <c r="P4" i="10"/>
  <c r="O4" i="10"/>
  <c r="P3" i="10"/>
  <c r="O3" i="10"/>
  <c r="P2" i="10"/>
  <c r="O2" i="10"/>
  <c r="G25" i="11" l="1"/>
  <c r="H32" i="11"/>
  <c r="H36" i="11"/>
  <c r="F43" i="11"/>
  <c r="G26" i="11"/>
  <c r="F42" i="11"/>
  <c r="H35" i="11"/>
  <c r="E4" i="11"/>
  <c r="H34" i="11"/>
  <c r="F44" i="11"/>
  <c r="B19" i="11"/>
  <c r="I11" i="11"/>
  <c r="I13" i="11"/>
  <c r="G24" i="11"/>
  <c r="E43" i="11"/>
  <c r="F60" i="11"/>
  <c r="F52" i="11"/>
  <c r="E3" i="11"/>
  <c r="E5" i="11"/>
  <c r="H16" i="11"/>
  <c r="H11" i="11"/>
  <c r="H12" i="11"/>
  <c r="E18" i="11" s="1"/>
  <c r="E19" i="11" s="1"/>
  <c r="H13" i="11"/>
  <c r="H14" i="11"/>
  <c r="H15" i="11"/>
  <c r="B18" i="11"/>
  <c r="E6" i="11" s="1"/>
  <c r="E45" i="11"/>
  <c r="F62" i="11"/>
  <c r="I12" i="11"/>
  <c r="I14" i="11"/>
  <c r="I16" i="11"/>
  <c r="F51" i="11"/>
  <c r="B17" i="11"/>
  <c r="E44" i="11"/>
  <c r="G44" i="11" s="1"/>
  <c r="E21" i="13" s="1"/>
  <c r="F45" i="11"/>
  <c r="E53" i="11"/>
  <c r="F59" i="11"/>
  <c r="F61" i="11"/>
  <c r="E10" i="13"/>
  <c r="E12" i="13"/>
  <c r="I15" i="11"/>
  <c r="E52" i="11"/>
  <c r="G52" i="11" s="1"/>
  <c r="H20" i="13" s="1"/>
  <c r="F53" i="11"/>
  <c r="B11" i="13"/>
  <c r="B13" i="13"/>
  <c r="B16" i="11"/>
  <c r="E42" i="11"/>
  <c r="G42" i="11" s="1"/>
  <c r="E19" i="13" s="1"/>
  <c r="E51" i="11"/>
  <c r="G43" i="11" l="1"/>
  <c r="E20" i="13" s="1"/>
  <c r="G53" i="11"/>
  <c r="H21" i="13" s="1"/>
  <c r="G45" i="11"/>
  <c r="E22" i="13" s="1"/>
  <c r="G51" i="11"/>
  <c r="H19" i="13" s="1"/>
</calcChain>
</file>

<file path=xl/sharedStrings.xml><?xml version="1.0" encoding="utf-8"?>
<sst xmlns="http://schemas.openxmlformats.org/spreadsheetml/2006/main" count="5235" uniqueCount="590">
  <si>
    <t>Row Labels</t>
  </si>
  <si>
    <t>Count of Loan_ID</t>
  </si>
  <si>
    <t>Active</t>
  </si>
  <si>
    <t>Closed</t>
  </si>
  <si>
    <t>Defaulted</t>
  </si>
  <si>
    <t>Overdue</t>
  </si>
  <si>
    <t>Grand Total</t>
  </si>
  <si>
    <t>Sum of Loan_Amount</t>
  </si>
  <si>
    <t>Sum of Default_Flag</t>
  </si>
  <si>
    <t>Business</t>
  </si>
  <si>
    <t>Education</t>
  </si>
  <si>
    <t>Home</t>
  </si>
  <si>
    <t>Medical</t>
  </si>
  <si>
    <t>Personal</t>
  </si>
  <si>
    <t>Vehicle</t>
  </si>
  <si>
    <t>(blank)</t>
  </si>
  <si>
    <t>Salaried</t>
  </si>
  <si>
    <t>Self-Employed</t>
  </si>
  <si>
    <t>Central</t>
  </si>
  <si>
    <t>East</t>
  </si>
  <si>
    <t>North</t>
  </si>
  <si>
    <t>South</t>
  </si>
  <si>
    <t>West</t>
  </si>
  <si>
    <t>Excellent</t>
  </si>
  <si>
    <t>Fair</t>
  </si>
  <si>
    <t>Good</t>
  </si>
  <si>
    <t>Poor</t>
  </si>
  <si>
    <t>High</t>
  </si>
  <si>
    <t>Low</t>
  </si>
  <si>
    <t>Medium</t>
  </si>
  <si>
    <t>&lt;1/5/2023</t>
  </si>
  <si>
    <t>2023</t>
  </si>
  <si>
    <t>2024</t>
  </si>
  <si>
    <t>2025</t>
  </si>
  <si>
    <t>Loan_ID</t>
  </si>
  <si>
    <t>Application_Date</t>
  </si>
  <si>
    <t>Customer_Age</t>
  </si>
  <si>
    <t>Employment_Type</t>
  </si>
  <si>
    <t>Annual_Income</t>
  </si>
  <si>
    <t>Credit_Score</t>
  </si>
  <si>
    <t>Loan_Amount</t>
  </si>
  <si>
    <t>Interest_Rate</t>
  </si>
  <si>
    <t>Loan_Term_Months</t>
  </si>
  <si>
    <t>Loan_Purpose</t>
  </si>
  <si>
    <t>Debt_to_Income</t>
  </si>
  <si>
    <t>Region</t>
  </si>
  <si>
    <t>Loan_Status</t>
  </si>
  <si>
    <t>Default_Flag</t>
  </si>
  <si>
    <t>Credit_Score_Band</t>
  </si>
  <si>
    <t>DTI_Band</t>
  </si>
  <si>
    <t>LN0001</t>
  </si>
  <si>
    <t>LN0002</t>
  </si>
  <si>
    <t>LN0003</t>
  </si>
  <si>
    <t>LN0004</t>
  </si>
  <si>
    <t>LN0005</t>
  </si>
  <si>
    <t>LN0006</t>
  </si>
  <si>
    <t>LN0007</t>
  </si>
  <si>
    <t>LN0008</t>
  </si>
  <si>
    <t>LN0009</t>
  </si>
  <si>
    <t>LN0010</t>
  </si>
  <si>
    <t>LN0011</t>
  </si>
  <si>
    <t>LN0012</t>
  </si>
  <si>
    <t>LN0013</t>
  </si>
  <si>
    <t>LN0014</t>
  </si>
  <si>
    <t>LN0015</t>
  </si>
  <si>
    <t>LN0016</t>
  </si>
  <si>
    <t>LN0017</t>
  </si>
  <si>
    <t>LN0018</t>
  </si>
  <si>
    <t>LN0019</t>
  </si>
  <si>
    <t>LN0020</t>
  </si>
  <si>
    <t>LN0021</t>
  </si>
  <si>
    <t>LN0022</t>
  </si>
  <si>
    <t>LN0023</t>
  </si>
  <si>
    <t>LN0024</t>
  </si>
  <si>
    <t>LN0025</t>
  </si>
  <si>
    <t>LN0026</t>
  </si>
  <si>
    <t>LN0027</t>
  </si>
  <si>
    <t>LN0028</t>
  </si>
  <si>
    <t>LN0029</t>
  </si>
  <si>
    <t>LN0030</t>
  </si>
  <si>
    <t>LN0031</t>
  </si>
  <si>
    <t>LN0032</t>
  </si>
  <si>
    <t>LN0033</t>
  </si>
  <si>
    <t>LN0034</t>
  </si>
  <si>
    <t>LN0035</t>
  </si>
  <si>
    <t>LN0036</t>
  </si>
  <si>
    <t>LN0037</t>
  </si>
  <si>
    <t>LN0038</t>
  </si>
  <si>
    <t>LN0039</t>
  </si>
  <si>
    <t>LN0040</t>
  </si>
  <si>
    <t>LN0041</t>
  </si>
  <si>
    <t>LN0042</t>
  </si>
  <si>
    <t>LN0043</t>
  </si>
  <si>
    <t>LN0044</t>
  </si>
  <si>
    <t>LN0045</t>
  </si>
  <si>
    <t>LN0046</t>
  </si>
  <si>
    <t>LN0047</t>
  </si>
  <si>
    <t>LN0048</t>
  </si>
  <si>
    <t>LN0049</t>
  </si>
  <si>
    <t>LN0050</t>
  </si>
  <si>
    <t>LN0051</t>
  </si>
  <si>
    <t>LN0052</t>
  </si>
  <si>
    <t>LN0053</t>
  </si>
  <si>
    <t>LN0054</t>
  </si>
  <si>
    <t>LN0055</t>
  </si>
  <si>
    <t>LN0056</t>
  </si>
  <si>
    <t>LN0057</t>
  </si>
  <si>
    <t>LN0058</t>
  </si>
  <si>
    <t>LN0059</t>
  </si>
  <si>
    <t>LN0060</t>
  </si>
  <si>
    <t>LN0061</t>
  </si>
  <si>
    <t>LN0062</t>
  </si>
  <si>
    <t>LN0063</t>
  </si>
  <si>
    <t>LN0064</t>
  </si>
  <si>
    <t>LN0065</t>
  </si>
  <si>
    <t>LN0066</t>
  </si>
  <si>
    <t>LN0067</t>
  </si>
  <si>
    <t>LN0068</t>
  </si>
  <si>
    <t>LN0069</t>
  </si>
  <si>
    <t>LN0070</t>
  </si>
  <si>
    <t>LN0071</t>
  </si>
  <si>
    <t>LN0072</t>
  </si>
  <si>
    <t>LN0073</t>
  </si>
  <si>
    <t>LN0074</t>
  </si>
  <si>
    <t>LN0075</t>
  </si>
  <si>
    <t>LN0076</t>
  </si>
  <si>
    <t>LN0077</t>
  </si>
  <si>
    <t>LN0078</t>
  </si>
  <si>
    <t>LN0079</t>
  </si>
  <si>
    <t>LN0080</t>
  </si>
  <si>
    <t>LN0081</t>
  </si>
  <si>
    <t>LN0082</t>
  </si>
  <si>
    <t>LN0083</t>
  </si>
  <si>
    <t>LN0084</t>
  </si>
  <si>
    <t>LN0085</t>
  </si>
  <si>
    <t>LN0086</t>
  </si>
  <si>
    <t>LN0087</t>
  </si>
  <si>
    <t>LN0088</t>
  </si>
  <si>
    <t>LN0089</t>
  </si>
  <si>
    <t>LN0090</t>
  </si>
  <si>
    <t>LN0091</t>
  </si>
  <si>
    <t>LN0092</t>
  </si>
  <si>
    <t>LN0093</t>
  </si>
  <si>
    <t>LN0094</t>
  </si>
  <si>
    <t>LN0095</t>
  </si>
  <si>
    <t>LN0096</t>
  </si>
  <si>
    <t>LN0097</t>
  </si>
  <si>
    <t>LN0098</t>
  </si>
  <si>
    <t>LN0099</t>
  </si>
  <si>
    <t>LN0100</t>
  </si>
  <si>
    <t>LN0101</t>
  </si>
  <si>
    <t>LN0102</t>
  </si>
  <si>
    <t>LN0103</t>
  </si>
  <si>
    <t>LN0104</t>
  </si>
  <si>
    <t>LN0105</t>
  </si>
  <si>
    <t>LN0106</t>
  </si>
  <si>
    <t>LN0107</t>
  </si>
  <si>
    <t>LN0108</t>
  </si>
  <si>
    <t>LN0109</t>
  </si>
  <si>
    <t>LN0110</t>
  </si>
  <si>
    <t>LN0111</t>
  </si>
  <si>
    <t>LN0112</t>
  </si>
  <si>
    <t>LN0113</t>
  </si>
  <si>
    <t>LN0114</t>
  </si>
  <si>
    <t>LN0115</t>
  </si>
  <si>
    <t>LN0116</t>
  </si>
  <si>
    <t>LN0117</t>
  </si>
  <si>
    <t>LN0118</t>
  </si>
  <si>
    <t>LN0119</t>
  </si>
  <si>
    <t>LN0120</t>
  </si>
  <si>
    <t>LN0121</t>
  </si>
  <si>
    <t>LN0122</t>
  </si>
  <si>
    <t>LN0123</t>
  </si>
  <si>
    <t>LN0124</t>
  </si>
  <si>
    <t>LN0125</t>
  </si>
  <si>
    <t>LN0126</t>
  </si>
  <si>
    <t>LN0127</t>
  </si>
  <si>
    <t>LN0128</t>
  </si>
  <si>
    <t>LN0129</t>
  </si>
  <si>
    <t>LN0130</t>
  </si>
  <si>
    <t>LN0131</t>
  </si>
  <si>
    <t>LN0132</t>
  </si>
  <si>
    <t>LN0133</t>
  </si>
  <si>
    <t>LN0134</t>
  </si>
  <si>
    <t>LN0135</t>
  </si>
  <si>
    <t>LN0136</t>
  </si>
  <si>
    <t>LN0137</t>
  </si>
  <si>
    <t>LN0138</t>
  </si>
  <si>
    <t>LN0139</t>
  </si>
  <si>
    <t>LN0140</t>
  </si>
  <si>
    <t>LN0141</t>
  </si>
  <si>
    <t>LN0142</t>
  </si>
  <si>
    <t>LN0143</t>
  </si>
  <si>
    <t>LN0144</t>
  </si>
  <si>
    <t>LN0145</t>
  </si>
  <si>
    <t>LN0146</t>
  </si>
  <si>
    <t>LN0147</t>
  </si>
  <si>
    <t>LN0148</t>
  </si>
  <si>
    <t>LN0149</t>
  </si>
  <si>
    <t>LN0150</t>
  </si>
  <si>
    <t>LN0151</t>
  </si>
  <si>
    <t>LN0152</t>
  </si>
  <si>
    <t>LN0153</t>
  </si>
  <si>
    <t>LN0154</t>
  </si>
  <si>
    <t>LN0155</t>
  </si>
  <si>
    <t>LN0156</t>
  </si>
  <si>
    <t>LN0157</t>
  </si>
  <si>
    <t>LN0158</t>
  </si>
  <si>
    <t>LN0159</t>
  </si>
  <si>
    <t>LN0160</t>
  </si>
  <si>
    <t>LN0161</t>
  </si>
  <si>
    <t>LN0162</t>
  </si>
  <si>
    <t>LN0163</t>
  </si>
  <si>
    <t>LN0164</t>
  </si>
  <si>
    <t>LN0165</t>
  </si>
  <si>
    <t>LN0166</t>
  </si>
  <si>
    <t>LN0167</t>
  </si>
  <si>
    <t>LN0168</t>
  </si>
  <si>
    <t>LN0169</t>
  </si>
  <si>
    <t>LN0170</t>
  </si>
  <si>
    <t>LN0171</t>
  </si>
  <si>
    <t>LN0172</t>
  </si>
  <si>
    <t>LN0173</t>
  </si>
  <si>
    <t>LN0174</t>
  </si>
  <si>
    <t>LN0175</t>
  </si>
  <si>
    <t>LN0176</t>
  </si>
  <si>
    <t>LN0177</t>
  </si>
  <si>
    <t>LN0178</t>
  </si>
  <si>
    <t>LN0179</t>
  </si>
  <si>
    <t>LN0180</t>
  </si>
  <si>
    <t>LN0181</t>
  </si>
  <si>
    <t>LN0182</t>
  </si>
  <si>
    <t>LN0183</t>
  </si>
  <si>
    <t>LN0184</t>
  </si>
  <si>
    <t>LN0185</t>
  </si>
  <si>
    <t>LN0186</t>
  </si>
  <si>
    <t>LN0187</t>
  </si>
  <si>
    <t>LN0188</t>
  </si>
  <si>
    <t>LN0189</t>
  </si>
  <si>
    <t>LN0190</t>
  </si>
  <si>
    <t>LN0191</t>
  </si>
  <si>
    <t>LN0192</t>
  </si>
  <si>
    <t>LN0193</t>
  </si>
  <si>
    <t>LN0194</t>
  </si>
  <si>
    <t>LN0195</t>
  </si>
  <si>
    <t>LN0196</t>
  </si>
  <si>
    <t>LN0197</t>
  </si>
  <si>
    <t>LN0198</t>
  </si>
  <si>
    <t>LN0199</t>
  </si>
  <si>
    <t>LN0200</t>
  </si>
  <si>
    <t>LN0201</t>
  </si>
  <si>
    <t>LN0202</t>
  </si>
  <si>
    <t>LN0203</t>
  </si>
  <si>
    <t>LN0204</t>
  </si>
  <si>
    <t>LN0205</t>
  </si>
  <si>
    <t>LN0206</t>
  </si>
  <si>
    <t>LN0207</t>
  </si>
  <si>
    <t>LN0208</t>
  </si>
  <si>
    <t>LN0209</t>
  </si>
  <si>
    <t>LN0210</t>
  </si>
  <si>
    <t>LN0211</t>
  </si>
  <si>
    <t>LN0212</t>
  </si>
  <si>
    <t>LN0213</t>
  </si>
  <si>
    <t>LN0214</t>
  </si>
  <si>
    <t>LN0215</t>
  </si>
  <si>
    <t>LN0216</t>
  </si>
  <si>
    <t>LN0217</t>
  </si>
  <si>
    <t>LN0218</t>
  </si>
  <si>
    <t>LN0219</t>
  </si>
  <si>
    <t>LN0220</t>
  </si>
  <si>
    <t>LN0221</t>
  </si>
  <si>
    <t>LN0222</t>
  </si>
  <si>
    <t>LN0223</t>
  </si>
  <si>
    <t>LN0224</t>
  </si>
  <si>
    <t>LN0225</t>
  </si>
  <si>
    <t>LN0226</t>
  </si>
  <si>
    <t>LN0227</t>
  </si>
  <si>
    <t>LN0228</t>
  </si>
  <si>
    <t>LN0229</t>
  </si>
  <si>
    <t>LN0230</t>
  </si>
  <si>
    <t>LN0231</t>
  </si>
  <si>
    <t>LN0232</t>
  </si>
  <si>
    <t>LN0233</t>
  </si>
  <si>
    <t>LN0234</t>
  </si>
  <si>
    <t>LN0235</t>
  </si>
  <si>
    <t>LN0236</t>
  </si>
  <si>
    <t>LN0237</t>
  </si>
  <si>
    <t>LN0238</t>
  </si>
  <si>
    <t>LN0239</t>
  </si>
  <si>
    <t>LN0240</t>
  </si>
  <si>
    <t>LN0241</t>
  </si>
  <si>
    <t>LN0242</t>
  </si>
  <si>
    <t>LN0243</t>
  </si>
  <si>
    <t>LN0244</t>
  </si>
  <si>
    <t>LN0245</t>
  </si>
  <si>
    <t>LN0246</t>
  </si>
  <si>
    <t>LN0247</t>
  </si>
  <si>
    <t>LN0248</t>
  </si>
  <si>
    <t>LN0249</t>
  </si>
  <si>
    <t>LN0250</t>
  </si>
  <si>
    <t>LN0251</t>
  </si>
  <si>
    <t>LN0252</t>
  </si>
  <si>
    <t>LN0253</t>
  </si>
  <si>
    <t>LN0254</t>
  </si>
  <si>
    <t>LN0255</t>
  </si>
  <si>
    <t>LN0256</t>
  </si>
  <si>
    <t>LN0257</t>
  </si>
  <si>
    <t>LN0258</t>
  </si>
  <si>
    <t>LN0259</t>
  </si>
  <si>
    <t>LN0260</t>
  </si>
  <si>
    <t>LN0261</t>
  </si>
  <si>
    <t>LN0262</t>
  </si>
  <si>
    <t>LN0263</t>
  </si>
  <si>
    <t>LN0264</t>
  </si>
  <si>
    <t>LN0265</t>
  </si>
  <si>
    <t>LN0266</t>
  </si>
  <si>
    <t>LN0267</t>
  </si>
  <si>
    <t>LN0268</t>
  </si>
  <si>
    <t>LN0269</t>
  </si>
  <si>
    <t>LN0270</t>
  </si>
  <si>
    <t>LN0271</t>
  </si>
  <si>
    <t>LN0272</t>
  </si>
  <si>
    <t>LN0273</t>
  </si>
  <si>
    <t>LN0274</t>
  </si>
  <si>
    <t>LN0275</t>
  </si>
  <si>
    <t>LN0276</t>
  </si>
  <si>
    <t>LN0277</t>
  </si>
  <si>
    <t>LN0278</t>
  </si>
  <si>
    <t>LN0279</t>
  </si>
  <si>
    <t>LN0280</t>
  </si>
  <si>
    <t>LN0281</t>
  </si>
  <si>
    <t>LN0282</t>
  </si>
  <si>
    <t>LN0283</t>
  </si>
  <si>
    <t>LN0284</t>
  </si>
  <si>
    <t>LN0285</t>
  </si>
  <si>
    <t>LN0286</t>
  </si>
  <si>
    <t>LN0287</t>
  </si>
  <si>
    <t>LN0288</t>
  </si>
  <si>
    <t>LN0289</t>
  </si>
  <si>
    <t>LN0290</t>
  </si>
  <si>
    <t>LN0291</t>
  </si>
  <si>
    <t>LN0292</t>
  </si>
  <si>
    <t>LN0293</t>
  </si>
  <si>
    <t>LN0294</t>
  </si>
  <si>
    <t>LN0295</t>
  </si>
  <si>
    <t>LN0296</t>
  </si>
  <si>
    <t>LN0297</t>
  </si>
  <si>
    <t>LN0298</t>
  </si>
  <si>
    <t>LN0299</t>
  </si>
  <si>
    <t>LN0300</t>
  </si>
  <si>
    <t>LN0301</t>
  </si>
  <si>
    <t>LN0302</t>
  </si>
  <si>
    <t>LN0303</t>
  </si>
  <si>
    <t>LN0304</t>
  </si>
  <si>
    <t>LN0305</t>
  </si>
  <si>
    <t>LN0306</t>
  </si>
  <si>
    <t>LN0307</t>
  </si>
  <si>
    <t>LN0308</t>
  </si>
  <si>
    <t>LN0309</t>
  </si>
  <si>
    <t>LN0310</t>
  </si>
  <si>
    <t>LN0311</t>
  </si>
  <si>
    <t>LN0312</t>
  </si>
  <si>
    <t>LN0313</t>
  </si>
  <si>
    <t>LN0314</t>
  </si>
  <si>
    <t>LN0315</t>
  </si>
  <si>
    <t>LN0316</t>
  </si>
  <si>
    <t>LN0317</t>
  </si>
  <si>
    <t>LN0318</t>
  </si>
  <si>
    <t>LN0319</t>
  </si>
  <si>
    <t>LN0320</t>
  </si>
  <si>
    <t>LN0321</t>
  </si>
  <si>
    <t>LN0322</t>
  </si>
  <si>
    <t>LN0323</t>
  </si>
  <si>
    <t>LN0324</t>
  </si>
  <si>
    <t>LN0325</t>
  </si>
  <si>
    <t>LN0326</t>
  </si>
  <si>
    <t>LN0327</t>
  </si>
  <si>
    <t>LN0328</t>
  </si>
  <si>
    <t>LN0329</t>
  </si>
  <si>
    <t>LN0330</t>
  </si>
  <si>
    <t>LN0331</t>
  </si>
  <si>
    <t>LN0332</t>
  </si>
  <si>
    <t>LN0333</t>
  </si>
  <si>
    <t>LN0334</t>
  </si>
  <si>
    <t>LN0335</t>
  </si>
  <si>
    <t>LN0336</t>
  </si>
  <si>
    <t>LN0337</t>
  </si>
  <si>
    <t>LN0338</t>
  </si>
  <si>
    <t>LN0339</t>
  </si>
  <si>
    <t>LN0340</t>
  </si>
  <si>
    <t>LN0341</t>
  </si>
  <si>
    <t>LN0342</t>
  </si>
  <si>
    <t>LN0343</t>
  </si>
  <si>
    <t>LN0344</t>
  </si>
  <si>
    <t>LN0345</t>
  </si>
  <si>
    <t>LN0346</t>
  </si>
  <si>
    <t>LN0347</t>
  </si>
  <si>
    <t>LN0348</t>
  </si>
  <si>
    <t>LN0349</t>
  </si>
  <si>
    <t>LN0350</t>
  </si>
  <si>
    <t>LN0351</t>
  </si>
  <si>
    <t>LN0352</t>
  </si>
  <si>
    <t>LN0353</t>
  </si>
  <si>
    <t>LN0354</t>
  </si>
  <si>
    <t>LN0355</t>
  </si>
  <si>
    <t>LN0356</t>
  </si>
  <si>
    <t>LN0357</t>
  </si>
  <si>
    <t>LN0358</t>
  </si>
  <si>
    <t>LN0359</t>
  </si>
  <si>
    <t>LN0360</t>
  </si>
  <si>
    <t>LN0361</t>
  </si>
  <si>
    <t>LN0362</t>
  </si>
  <si>
    <t>LN0363</t>
  </si>
  <si>
    <t>LN0364</t>
  </si>
  <si>
    <t>LN0365</t>
  </si>
  <si>
    <t>LN0366</t>
  </si>
  <si>
    <t>LN0367</t>
  </si>
  <si>
    <t>LN0368</t>
  </si>
  <si>
    <t>LN0369</t>
  </si>
  <si>
    <t>LN0370</t>
  </si>
  <si>
    <t>LN0371</t>
  </si>
  <si>
    <t>LN0372</t>
  </si>
  <si>
    <t>LN0373</t>
  </si>
  <si>
    <t>LN0374</t>
  </si>
  <si>
    <t>LN0375</t>
  </si>
  <si>
    <t>LN0376</t>
  </si>
  <si>
    <t>LN0377</t>
  </si>
  <si>
    <t>LN0378</t>
  </si>
  <si>
    <t>LN0379</t>
  </si>
  <si>
    <t>LN0380</t>
  </si>
  <si>
    <t>LN0381</t>
  </si>
  <si>
    <t>LN0382</t>
  </si>
  <si>
    <t>LN0383</t>
  </si>
  <si>
    <t>LN0384</t>
  </si>
  <si>
    <t>LN0385</t>
  </si>
  <si>
    <t>LN0386</t>
  </si>
  <si>
    <t>LN0387</t>
  </si>
  <si>
    <t>LN0388</t>
  </si>
  <si>
    <t>LN0389</t>
  </si>
  <si>
    <t>LN0390</t>
  </si>
  <si>
    <t>LN0391</t>
  </si>
  <si>
    <t>LN0392</t>
  </si>
  <si>
    <t>LN0393</t>
  </si>
  <si>
    <t>LN0394</t>
  </si>
  <si>
    <t>LN0395</t>
  </si>
  <si>
    <t>LN0396</t>
  </si>
  <si>
    <t>LN0397</t>
  </si>
  <si>
    <t>LN0398</t>
  </si>
  <si>
    <t>LN0399</t>
  </si>
  <si>
    <t>LN0400</t>
  </si>
  <si>
    <t>LN0401</t>
  </si>
  <si>
    <t>LN0402</t>
  </si>
  <si>
    <t>LN0403</t>
  </si>
  <si>
    <t>LN0404</t>
  </si>
  <si>
    <t>LN0405</t>
  </si>
  <si>
    <t>LN0406</t>
  </si>
  <si>
    <t>LN0407</t>
  </si>
  <si>
    <t>LN0408</t>
  </si>
  <si>
    <t>LN0409</t>
  </si>
  <si>
    <t>LN0410</t>
  </si>
  <si>
    <t>LN0411</t>
  </si>
  <si>
    <t>LN0412</t>
  </si>
  <si>
    <t>LN0413</t>
  </si>
  <si>
    <t>LN0414</t>
  </si>
  <si>
    <t>LN0415</t>
  </si>
  <si>
    <t>LN0416</t>
  </si>
  <si>
    <t>LN0417</t>
  </si>
  <si>
    <t>LN0418</t>
  </si>
  <si>
    <t>LN0419</t>
  </si>
  <si>
    <t>LN0420</t>
  </si>
  <si>
    <t>LN0421</t>
  </si>
  <si>
    <t>LN0422</t>
  </si>
  <si>
    <t>LN0423</t>
  </si>
  <si>
    <t>LN0424</t>
  </si>
  <si>
    <t>LN0425</t>
  </si>
  <si>
    <t>LN0426</t>
  </si>
  <si>
    <t>LN0427</t>
  </si>
  <si>
    <t>LN0428</t>
  </si>
  <si>
    <t>LN0429</t>
  </si>
  <si>
    <t>LN0430</t>
  </si>
  <si>
    <t>LN0431</t>
  </si>
  <si>
    <t>LN0432</t>
  </si>
  <si>
    <t>LN0433</t>
  </si>
  <si>
    <t>LN0434</t>
  </si>
  <si>
    <t>LN0435</t>
  </si>
  <si>
    <t>LN0436</t>
  </si>
  <si>
    <t>LN0437</t>
  </si>
  <si>
    <t>LN0438</t>
  </si>
  <si>
    <t>LN0439</t>
  </si>
  <si>
    <t>LN0440</t>
  </si>
  <si>
    <t>LN0441</t>
  </si>
  <si>
    <t>LN0442</t>
  </si>
  <si>
    <t>LN0443</t>
  </si>
  <si>
    <t>LN0444</t>
  </si>
  <si>
    <t>LN0445</t>
  </si>
  <si>
    <t>LN0446</t>
  </si>
  <si>
    <t>LN0447</t>
  </si>
  <si>
    <t>LN0448</t>
  </si>
  <si>
    <t>LN0449</t>
  </si>
  <si>
    <t>LN0450</t>
  </si>
  <si>
    <t>LN0451</t>
  </si>
  <si>
    <t>LN0452</t>
  </si>
  <si>
    <t>LN0453</t>
  </si>
  <si>
    <t>LN0454</t>
  </si>
  <si>
    <t>LN0455</t>
  </si>
  <si>
    <t>LN0456</t>
  </si>
  <si>
    <t>LN0457</t>
  </si>
  <si>
    <t>LN0458</t>
  </si>
  <si>
    <t>LN0459</t>
  </si>
  <si>
    <t>LN0460</t>
  </si>
  <si>
    <t>LN0461</t>
  </si>
  <si>
    <t>LN0462</t>
  </si>
  <si>
    <t>LN0463</t>
  </si>
  <si>
    <t>LN0464</t>
  </si>
  <si>
    <t>LN0465</t>
  </si>
  <si>
    <t>LN0466</t>
  </si>
  <si>
    <t>LN0467</t>
  </si>
  <si>
    <t>LN0468</t>
  </si>
  <si>
    <t>LN0469</t>
  </si>
  <si>
    <t>LN0470</t>
  </si>
  <si>
    <t>LN0471</t>
  </si>
  <si>
    <t>LN0472</t>
  </si>
  <si>
    <t>LN0473</t>
  </si>
  <si>
    <t>LN0474</t>
  </si>
  <si>
    <t>LN0475</t>
  </si>
  <si>
    <t>LN0476</t>
  </si>
  <si>
    <t>LN0477</t>
  </si>
  <si>
    <t>LN0478</t>
  </si>
  <si>
    <t>LN0479</t>
  </si>
  <si>
    <t>LN0480</t>
  </si>
  <si>
    <t>LN0481</t>
  </si>
  <si>
    <t>LN0482</t>
  </si>
  <si>
    <t>LN0483</t>
  </si>
  <si>
    <t>LN0484</t>
  </si>
  <si>
    <t>LN0485</t>
  </si>
  <si>
    <t>LN0486</t>
  </si>
  <si>
    <t>LN0487</t>
  </si>
  <si>
    <t>LN0488</t>
  </si>
  <si>
    <t>LN0489</t>
  </si>
  <si>
    <t>LN0490</t>
  </si>
  <si>
    <t>LN0491</t>
  </si>
  <si>
    <t>LN0492</t>
  </si>
  <si>
    <t>LN0493</t>
  </si>
  <si>
    <t>LN0494</t>
  </si>
  <si>
    <t>LN0495</t>
  </si>
  <si>
    <t>LN0496</t>
  </si>
  <si>
    <t>LN0497</t>
  </si>
  <si>
    <t>LN0498</t>
  </si>
  <si>
    <t>LN0499</t>
  </si>
  <si>
    <t>LN0500</t>
  </si>
  <si>
    <t>Portfolio KPIs</t>
  </si>
  <si>
    <t>Risk Summary</t>
  </si>
  <si>
    <t>Total Loan Amount</t>
  </si>
  <si>
    <t>Defaulted Loans</t>
  </si>
  <si>
    <t>Total Number of Loans</t>
  </si>
  <si>
    <t>Default Rate</t>
  </si>
  <si>
    <t>Average Loan Amount</t>
  </si>
  <si>
    <t>Overdue Loans</t>
  </si>
  <si>
    <t>Average Interest Rate</t>
  </si>
  <si>
    <t>Overdue Loan %</t>
  </si>
  <si>
    <t>Average Credit Score</t>
  </si>
  <si>
    <t>Average Annual Income</t>
  </si>
  <si>
    <t>Average Debt-to-Income Ratio</t>
  </si>
  <si>
    <t>Loan Purpose</t>
  </si>
  <si>
    <t>Number of Loans</t>
  </si>
  <si>
    <t>Closed Loans</t>
  </si>
  <si>
    <t>Active Loans</t>
  </si>
  <si>
    <t>Total Status Count</t>
  </si>
  <si>
    <t>Closed Loan %</t>
  </si>
  <si>
    <t>Active Loan %</t>
  </si>
  <si>
    <t>Highest Default Rate</t>
  </si>
  <si>
    <t>Defaulted Loan %</t>
  </si>
  <si>
    <t>Loan Purpose with Highest Default Rate</t>
  </si>
  <si>
    <t>Employment Type Risk Analysis</t>
  </si>
  <si>
    <t>Employment Type</t>
  </si>
  <si>
    <t>Regional Risk Analysis</t>
  </si>
  <si>
    <t>Credit Score Risk Analysis</t>
  </si>
  <si>
    <t>Credit Score Band</t>
  </si>
  <si>
    <t>DTI Risk Analysis</t>
  </si>
  <si>
    <t>DTI Band</t>
  </si>
  <si>
    <t>Loan Status Distribution</t>
  </si>
  <si>
    <t>Loan Status</t>
  </si>
  <si>
    <t>Percentage</t>
  </si>
  <si>
    <t>Monthly Loan Volume</t>
  </si>
  <si>
    <t>Year</t>
  </si>
  <si>
    <t>Month</t>
  </si>
  <si>
    <t>Bank Loan Portfolio &amp; Credit Risk Analysis</t>
  </si>
  <si>
    <t>Synthetic loan portfolio dataset | Credit risk analysis</t>
  </si>
  <si>
    <t>Total Loans</t>
  </si>
  <si>
    <t>Analysis Period: 2023–2025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</si>
</sst>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5" formatCode="dd\-mmm\-yyyy"/>
    <numFmt numFmtId="166" formatCode="\₹#,##0"/>
    <numFmt numFmtId="167" formatCode="0.0"/>
    <numFmt numFmtId="168" formatCode="0.0%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rgb="FFFFFFFF"/>
      <name val="Aptos"/>
      <family val="2"/>
    </font>
    <font>
      <sz val="9.5"/>
      <color rgb="FF1F2937"/>
      <name val="Aptos"/>
      <family val="2"/>
    </font>
    <font>
      <b/>
      <sz val="11"/>
      <color rgb="FFFFFFFF"/>
      <name val="Aptos"/>
      <family val="2"/>
    </font>
    <font>
      <b/>
      <sz val="9.5"/>
      <color rgb="FFFFFFFF"/>
      <name val="Aptos"/>
      <family val="2"/>
    </font>
    <font>
      <b/>
      <sz val="10"/>
      <color rgb="FF1F2937"/>
      <name val="Aptos"/>
      <family val="2"/>
    </font>
    <font>
      <sz val="10"/>
      <color rgb="FF1F2937"/>
      <name val="Aptos"/>
      <family val="2"/>
    </font>
    <font>
      <b/>
      <sz val="20"/>
      <color rgb="FFFFFFFF"/>
      <name val="Aptos Display"/>
      <family val="2"/>
    </font>
    <font>
      <i/>
      <sz val="10.5"/>
      <color rgb="FFFFFFFF"/>
      <name val="Aptos"/>
      <family val="2"/>
    </font>
    <font>
      <b/>
      <sz val="15"/>
      <color rgb="FF17365D"/>
      <name val="Aptos Display"/>
      <family val="2"/>
    </font>
    <font>
      <i/>
      <sz val="9"/>
      <color rgb="FF6B728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2F75B5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/>
      <top/>
      <bottom style="medium">
        <color rgb="FF17365D"/>
      </bottom>
      <diagonal/>
    </border>
  </borders>
  <cellStyleXfs count="2">
    <xf numFmtId="0" fontId="0" fillId="0" borderId="0"/>
    <xf numFmtId="9" fontId="1" fillId="0" borderId="0"/>
  </cellStyleXfs>
  <cellXfs count="44">
    <xf numFmtId="0" fontId="0" fillId="0" borderId="0" xfId="0"/>
    <xf numFmtId="9" fontId="0" fillId="0" borderId="0" xfId="0" applyNumberFormat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0" fontId="5" fillId="2" borderId="1" xfId="0" applyFont="1" applyFill="1" applyBorder="1" applyAlignment="1">
      <alignment horizontal="center" vertical="center" wrapText="1"/>
    </xf>
    <xf numFmtId="0" fontId="6" fillId="4" borderId="1" xfId="0" pivotButton="1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165" fontId="6" fillId="3" borderId="1" xfId="0" applyNumberFormat="1" applyFont="1" applyFill="1" applyBorder="1" applyAlignment="1">
      <alignment vertical="center"/>
    </xf>
    <xf numFmtId="166" fontId="6" fillId="3" borderId="1" xfId="0" applyNumberFormat="1" applyFont="1" applyFill="1" applyBorder="1" applyAlignment="1">
      <alignment vertical="center"/>
    </xf>
    <xf numFmtId="167" fontId="6" fillId="3" borderId="1" xfId="0" applyNumberFormat="1" applyFont="1" applyFill="1" applyBorder="1" applyAlignment="1">
      <alignment vertical="center"/>
    </xf>
    <xf numFmtId="168" fontId="6" fillId="3" borderId="1" xfId="1" applyNumberFormat="1" applyFont="1" applyFill="1" applyBorder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166" fontId="6" fillId="4" borderId="1" xfId="0" applyNumberFormat="1" applyFont="1" applyFill="1" applyBorder="1" applyAlignment="1">
      <alignment vertical="center"/>
    </xf>
    <xf numFmtId="167" fontId="6" fillId="4" borderId="1" xfId="0" applyNumberFormat="1" applyFont="1" applyFill="1" applyBorder="1" applyAlignment="1">
      <alignment vertical="center"/>
    </xf>
    <xf numFmtId="168" fontId="6" fillId="4" borderId="1" xfId="1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66" fontId="10" fillId="3" borderId="1" xfId="0" applyNumberFormat="1" applyFont="1" applyFill="1" applyBorder="1" applyAlignment="1">
      <alignment vertical="center"/>
    </xf>
    <xf numFmtId="0" fontId="9" fillId="4" borderId="1" xfId="0" applyFont="1" applyFill="1" applyBorder="1"/>
    <xf numFmtId="0" fontId="10" fillId="3" borderId="1" xfId="0" applyFont="1" applyFill="1" applyBorder="1"/>
    <xf numFmtId="0" fontId="10" fillId="3" borderId="1" xfId="0" applyFont="1" applyFill="1" applyBorder="1" applyAlignment="1">
      <alignment vertical="center"/>
    </xf>
    <xf numFmtId="9" fontId="10" fillId="3" borderId="1" xfId="0" applyNumberFormat="1" applyFont="1" applyFill="1" applyBorder="1"/>
    <xf numFmtId="168" fontId="10" fillId="3" borderId="1" xfId="0" applyNumberFormat="1" applyFont="1" applyFill="1" applyBorder="1" applyAlignment="1">
      <alignment vertical="center"/>
    </xf>
    <xf numFmtId="168" fontId="10" fillId="3" borderId="1" xfId="1" applyNumberFormat="1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8" fontId="6" fillId="0" borderId="1" xfId="1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166" fontId="13" fillId="3" borderId="1" xfId="0" applyNumberFormat="1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168" fontId="13" fillId="3" borderId="1" xfId="0" applyNumberFormat="1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0" fontId="6" fillId="4" borderId="1" xfId="0" applyFont="1" applyFill="1" applyBorder="1"/>
    <xf numFmtId="168" fontId="6" fillId="4" borderId="1" xfId="0" applyNumberFormat="1" applyFont="1" applyFill="1" applyBorder="1"/>
    <xf numFmtId="168" fontId="6" fillId="3" borderId="1" xfId="0" applyNumberFormat="1" applyFont="1" applyFill="1" applyBorder="1"/>
    <xf numFmtId="0" fontId="14" fillId="0" borderId="0" xfId="0" applyFont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Loan Status Distribution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Number of Loans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Dashboard!$A$10:$A$13</c:f>
              <c:strCache>
                <c:ptCount val="4"/>
                <c:pt idx="0">
                  <c:v>Active</c:v>
                </c:pt>
                <c:pt idx="1">
                  <c:v>Closed</c:v>
                </c:pt>
                <c:pt idx="2">
                  <c:v>Overdue</c:v>
                </c:pt>
                <c:pt idx="3">
                  <c:v>Defaulted</c:v>
                </c:pt>
              </c:strCache>
            </c:strRef>
          </c:cat>
          <c:val>
            <c:numRef>
              <c:f>Dashboard!$B$10:$B$13</c:f>
              <c:numCache>
                <c:formatCode>General</c:formatCode>
                <c:ptCount val="4"/>
                <c:pt idx="0">
                  <c:v>128</c:v>
                </c:pt>
                <c:pt idx="1">
                  <c:v>142</c:v>
                </c:pt>
                <c:pt idx="2">
                  <c:v>110</c:v>
                </c:pt>
                <c:pt idx="3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5-4069-9F79-E12CBBEFB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003519"/>
        <c:axId val="1877013119"/>
      </c:barChart>
      <c:catAx>
        <c:axId val="187700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13119"/>
        <c:crosses val="autoZero"/>
        <c:auto val="1"/>
        <c:lblAlgn val="ctr"/>
        <c:lblOffset val="100"/>
        <c:noMultiLvlLbl val="0"/>
      </c:catAx>
      <c:valAx>
        <c:axId val="187701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0351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Loan Volume by Purpose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Dashboard!$E$9</c:f>
              <c:strCache>
                <c:ptCount val="1"/>
                <c:pt idx="0">
                  <c:v>Number of Loans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Dashboard!$D$10:$D$15</c:f>
              <c:strCache>
                <c:ptCount val="6"/>
                <c:pt idx="0">
                  <c:v>Home</c:v>
                </c:pt>
                <c:pt idx="1">
                  <c:v>Education</c:v>
                </c:pt>
                <c:pt idx="2">
                  <c:v>Medical</c:v>
                </c:pt>
                <c:pt idx="3">
                  <c:v>Business</c:v>
                </c:pt>
                <c:pt idx="4">
                  <c:v>Vehicle</c:v>
                </c:pt>
                <c:pt idx="5">
                  <c:v>Personal</c:v>
                </c:pt>
              </c:strCache>
            </c:strRef>
          </c:cat>
          <c:val>
            <c:numRef>
              <c:f>Dashboard!$E$10:$E$15</c:f>
              <c:numCache>
                <c:formatCode>General</c:formatCode>
                <c:ptCount val="6"/>
                <c:pt idx="0">
                  <c:v>83</c:v>
                </c:pt>
                <c:pt idx="1">
                  <c:v>80</c:v>
                </c:pt>
                <c:pt idx="2">
                  <c:v>88</c:v>
                </c:pt>
                <c:pt idx="3">
                  <c:v>86</c:v>
                </c:pt>
                <c:pt idx="4">
                  <c:v>91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F-4362-B126-26C30534F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318431"/>
        <c:axId val="560316031"/>
      </c:barChart>
      <c:catAx>
        <c:axId val="56031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16031"/>
        <c:crosses val="autoZero"/>
        <c:auto val="1"/>
        <c:lblAlgn val="ctr"/>
        <c:lblOffset val="100"/>
        <c:noMultiLvlLbl val="0"/>
      </c:catAx>
      <c:valAx>
        <c:axId val="56031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31843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Default Rate by Credit Score Band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Dashboard!$E$18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Dashboard!$D$19:$D$22</c:f>
              <c:strCache>
                <c:ptCount val="4"/>
                <c:pt idx="0">
                  <c:v>Poor</c:v>
                </c:pt>
                <c:pt idx="1">
                  <c:v>Fair</c:v>
                </c:pt>
                <c:pt idx="2">
                  <c:v>Good</c:v>
                </c:pt>
                <c:pt idx="3">
                  <c:v>Excellent</c:v>
                </c:pt>
              </c:strCache>
            </c:strRef>
          </c:cat>
          <c:val>
            <c:numRef>
              <c:f>Dashboard!$E$19:$E$22</c:f>
              <c:numCache>
                <c:formatCode>0.0%</c:formatCode>
                <c:ptCount val="4"/>
                <c:pt idx="0">
                  <c:v>0.41379310344827586</c:v>
                </c:pt>
                <c:pt idx="1">
                  <c:v>0.18292682926829268</c:v>
                </c:pt>
                <c:pt idx="2">
                  <c:v>0.13793103448275862</c:v>
                </c:pt>
                <c:pt idx="3">
                  <c:v>0.17171717171717171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3-4D16-A7A1-2A6DAFD0A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269167"/>
        <c:axId val="2032269647"/>
      </c:barChart>
      <c:catAx>
        <c:axId val="203226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69647"/>
        <c:crosses val="autoZero"/>
        <c:auto val="1"/>
        <c:lblAlgn val="ctr"/>
        <c:lblOffset val="100"/>
        <c:noMultiLvlLbl val="0"/>
      </c:catAx>
      <c:valAx>
        <c:axId val="203226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691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Default Rate by DTI Band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Dashboard!$H$18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Dashboard!$G$19:$G$21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Dashboard!$H$19:$H$21</c:f>
              <c:numCache>
                <c:formatCode>0.0%</c:formatCode>
                <c:ptCount val="3"/>
                <c:pt idx="0">
                  <c:v>0.27272727272727271</c:v>
                </c:pt>
                <c:pt idx="1">
                  <c:v>0.17989417989417988</c:v>
                </c:pt>
                <c:pt idx="2">
                  <c:v>0.41037735849056606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0-4DE2-9F58-7CB3D9CA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7007839"/>
        <c:axId val="1877003039"/>
      </c:barChart>
      <c:catAx>
        <c:axId val="187700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03039"/>
        <c:crosses val="autoZero"/>
        <c:auto val="1"/>
        <c:lblAlgn val="ctr"/>
        <c:lblOffset val="100"/>
        <c:noMultiLvlLbl val="0"/>
      </c:catAx>
      <c:valAx>
        <c:axId val="187700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00783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13</xdr:row>
      <xdr:rowOff>171449</xdr:rowOff>
    </xdr:from>
    <xdr:to>
      <xdr:col>2</xdr:col>
      <xdr:colOff>28576</xdr:colOff>
      <xdr:row>27</xdr:row>
      <xdr:rowOff>166686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530678</xdr:colOff>
      <xdr:row>7</xdr:row>
      <xdr:rowOff>40821</xdr:rowOff>
    </xdr:from>
    <xdr:to>
      <xdr:col>11</xdr:col>
      <xdr:colOff>489857</xdr:colOff>
      <xdr:row>16</xdr:row>
      <xdr:rowOff>54429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390525</xdr:colOff>
      <xdr:row>23</xdr:row>
      <xdr:rowOff>33337</xdr:rowOff>
    </xdr:from>
    <xdr:to>
      <xdr:col>5</xdr:col>
      <xdr:colOff>209550</xdr:colOff>
      <xdr:row>37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16</xdr:row>
      <xdr:rowOff>161924</xdr:rowOff>
    </xdr:from>
    <xdr:to>
      <xdr:col>14</xdr:col>
      <xdr:colOff>85725</xdr:colOff>
      <xdr:row>27</xdr:row>
      <xdr:rowOff>66674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4.669625694441" createdVersion="8" refreshedVersion="8" minRefreshableVersion="3" recordCount="500" xr:uid="{00000000-000A-0000-FFFF-FFFF00000000}">
  <cacheSource type="worksheet">
    <worksheetSource ref="A1:P501" sheet="Working Data"/>
  </cacheSource>
  <cacheFields count="16">
    <cacheField name="Loan_ID" numFmtId="0">
      <sharedItems/>
    </cacheField>
    <cacheField name="Application_Date" numFmtId="14">
      <sharedItems containsSemiMixedTypes="0" containsNonDate="0" containsDate="1" containsString="0" minDate="2023-01-05T00:00:00" maxDate="2025-12-29T00:00:00"/>
    </cacheField>
    <cacheField name="Customer_Age" numFmtId="0">
      <sharedItems containsSemiMixedTypes="0" containsString="0" containsNumber="1" containsInteger="1" minValue="21" maxValue="65"/>
    </cacheField>
    <cacheField name="Employment_Type" numFmtId="0">
      <sharedItems/>
    </cacheField>
    <cacheField name="Annual_Income" numFmtId="0">
      <sharedItems containsSemiMixedTypes="0" containsString="0" containsNumber="1" containsInteger="1" minValue="253723" maxValue="2392902"/>
    </cacheField>
    <cacheField name="Credit_Score" numFmtId="0">
      <sharedItems containsSemiMixedTypes="0" containsString="0" containsNumber="1" containsInteger="1" minValue="300" maxValue="849"/>
    </cacheField>
    <cacheField name="Loan_Amount" numFmtId="0">
      <sharedItems containsSemiMixedTypes="0" containsString="0" containsNumber="1" containsInteger="1" minValue="52258" maxValue="1999110"/>
    </cacheField>
    <cacheField name="Interest_Rate" numFmtId="0">
      <sharedItems containsSemiMixedTypes="0" containsString="0" containsNumber="1" containsInteger="1" minValue="6" maxValue="24"/>
    </cacheField>
    <cacheField name="Loan_Term_Months" numFmtId="0">
      <sharedItems containsSemiMixedTypes="0" containsString="0" containsNumber="1" containsInteger="1" minValue="12" maxValue="60"/>
    </cacheField>
    <cacheField name="Loan_Purpose" numFmtId="0">
      <sharedItems/>
    </cacheField>
    <cacheField name="Debt_to_Income" numFmtId="9">
      <sharedItems containsSemiMixedTypes="0" containsString="0" containsNumber="1" minValue="0.1" maxValue="0.6"/>
    </cacheField>
    <cacheField name="Region" numFmtId="0">
      <sharedItems/>
    </cacheField>
    <cacheField name="Loan_Status" numFmtId="0">
      <sharedItems count="4">
        <s v="Closed"/>
        <s v="Defaulted"/>
        <s v="Overdue"/>
        <s v="Active"/>
      </sharedItems>
    </cacheField>
    <cacheField name="Default_Flag" numFmtId="0">
      <sharedItems containsSemiMixedTypes="0" containsString="0" containsNumber="1" containsInteger="1" minValue="0" maxValue="1"/>
    </cacheField>
    <cacheField name="Credit_Score_Band" numFmtId="0">
      <sharedItems/>
    </cacheField>
    <cacheField name="DTI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94.694862962962" createdVersion="8" refreshedVersion="8" minRefreshableVersion="3" recordCount="501" xr:uid="{00000000-000A-0000-FFFF-FFFF0D000000}">
  <cacheSource type="worksheet">
    <worksheetSource ref="A1:P1048576" sheet="Working Data"/>
  </cacheSource>
  <cacheFields count="19">
    <cacheField name="Loan_ID" numFmtId="0">
      <sharedItems containsBlank="1" count="501">
        <s v="LN0001"/>
        <s v="LN0002"/>
        <s v="LN0003"/>
        <s v="LN0004"/>
        <s v="LN0005"/>
        <s v="LN0006"/>
        <s v="LN0007"/>
        <s v="LN0008"/>
        <s v="LN0009"/>
        <s v="LN0010"/>
        <s v="LN0011"/>
        <s v="LN0012"/>
        <s v="LN0013"/>
        <s v="LN0014"/>
        <s v="LN0015"/>
        <s v="LN0016"/>
        <s v="LN0017"/>
        <s v="LN0018"/>
        <s v="LN0019"/>
        <s v="LN0020"/>
        <s v="LN0021"/>
        <s v="LN0022"/>
        <s v="LN0023"/>
        <s v="LN0024"/>
        <s v="LN0025"/>
        <s v="LN0026"/>
        <s v="LN0027"/>
        <s v="LN0028"/>
        <s v="LN0029"/>
        <s v="LN0030"/>
        <s v="LN0031"/>
        <s v="LN0032"/>
        <s v="LN0033"/>
        <s v="LN0034"/>
        <s v="LN0035"/>
        <s v="LN0036"/>
        <s v="LN0037"/>
        <s v="LN0038"/>
        <s v="LN0039"/>
        <s v="LN0040"/>
        <s v="LN0041"/>
        <s v="LN0042"/>
        <s v="LN0043"/>
        <s v="LN0044"/>
        <s v="LN0045"/>
        <s v="LN0046"/>
        <s v="LN0047"/>
        <s v="LN0048"/>
        <s v="LN0049"/>
        <s v="LN0050"/>
        <s v="LN0051"/>
        <s v="LN0052"/>
        <s v="LN0053"/>
        <s v="LN0054"/>
        <s v="LN0055"/>
        <s v="LN0056"/>
        <s v="LN0057"/>
        <s v="LN0058"/>
        <s v="LN0059"/>
        <s v="LN0060"/>
        <s v="LN0061"/>
        <s v="LN0062"/>
        <s v="LN0063"/>
        <s v="LN0064"/>
        <s v="LN0065"/>
        <s v="LN0066"/>
        <s v="LN0067"/>
        <s v="LN0068"/>
        <s v="LN0069"/>
        <s v="LN0070"/>
        <s v="LN0071"/>
        <s v="LN0072"/>
        <s v="LN0073"/>
        <s v="LN0074"/>
        <s v="LN0075"/>
        <s v="LN0076"/>
        <s v="LN0077"/>
        <s v="LN0078"/>
        <s v="LN0079"/>
        <s v="LN0080"/>
        <s v="LN0081"/>
        <s v="LN0082"/>
        <s v="LN0083"/>
        <s v="LN0084"/>
        <s v="LN0085"/>
        <s v="LN0086"/>
        <s v="LN0087"/>
        <s v="LN0088"/>
        <s v="LN0089"/>
        <s v="LN0090"/>
        <s v="LN0091"/>
        <s v="LN0092"/>
        <s v="LN0093"/>
        <s v="LN0094"/>
        <s v="LN0095"/>
        <s v="LN0096"/>
        <s v="LN0097"/>
        <s v="LN0098"/>
        <s v="LN0099"/>
        <s v="LN0100"/>
        <s v="LN0101"/>
        <s v="LN0102"/>
        <s v="LN0103"/>
        <s v="LN0104"/>
        <s v="LN0105"/>
        <s v="LN0106"/>
        <s v="LN0107"/>
        <s v="LN0108"/>
        <s v="LN0109"/>
        <s v="LN0110"/>
        <s v="LN0111"/>
        <s v="LN0112"/>
        <s v="LN0113"/>
        <s v="LN0114"/>
        <s v="LN0115"/>
        <s v="LN0116"/>
        <s v="LN0117"/>
        <s v="LN0118"/>
        <s v="LN0119"/>
        <s v="LN0120"/>
        <s v="LN0121"/>
        <s v="LN0122"/>
        <s v="LN0123"/>
        <s v="LN0124"/>
        <s v="LN0125"/>
        <s v="LN0126"/>
        <s v="LN0127"/>
        <s v="LN0128"/>
        <s v="LN0129"/>
        <s v="LN0130"/>
        <s v="LN0131"/>
        <s v="LN0132"/>
        <s v="LN0133"/>
        <s v="LN0134"/>
        <s v="LN0135"/>
        <s v="LN0136"/>
        <s v="LN0137"/>
        <s v="LN0138"/>
        <s v="LN0139"/>
        <s v="LN0140"/>
        <s v="LN0141"/>
        <s v="LN0142"/>
        <s v="LN0143"/>
        <s v="LN0144"/>
        <s v="LN0145"/>
        <s v="LN0146"/>
        <s v="LN0147"/>
        <s v="LN0148"/>
        <s v="LN0149"/>
        <s v="LN0150"/>
        <s v="LN0151"/>
        <s v="LN0152"/>
        <s v="LN0153"/>
        <s v="LN0154"/>
        <s v="LN0155"/>
        <s v="LN0156"/>
        <s v="LN0157"/>
        <s v="LN0158"/>
        <s v="LN0159"/>
        <s v="LN0160"/>
        <s v="LN0161"/>
        <s v="LN0162"/>
        <s v="LN0163"/>
        <s v="LN0164"/>
        <s v="LN0165"/>
        <s v="LN0166"/>
        <s v="LN0167"/>
        <s v="LN0168"/>
        <s v="LN0169"/>
        <s v="LN0170"/>
        <s v="LN0171"/>
        <s v="LN0172"/>
        <s v="LN0173"/>
        <s v="LN0174"/>
        <s v="LN0175"/>
        <s v="LN0176"/>
        <s v="LN0177"/>
        <s v="LN0178"/>
        <s v="LN0179"/>
        <s v="LN0180"/>
        <s v="LN0181"/>
        <s v="LN0182"/>
        <s v="LN0183"/>
        <s v="LN0184"/>
        <s v="LN0185"/>
        <s v="LN0186"/>
        <s v="LN0187"/>
        <s v="LN0188"/>
        <s v="LN0189"/>
        <s v="LN0190"/>
        <s v="LN0191"/>
        <s v="LN0192"/>
        <s v="LN0193"/>
        <s v="LN0194"/>
        <s v="LN0195"/>
        <s v="LN0196"/>
        <s v="LN0197"/>
        <s v="LN0198"/>
        <s v="LN0199"/>
        <s v="LN0200"/>
        <s v="LN0201"/>
        <s v="LN0202"/>
        <s v="LN0203"/>
        <s v="LN0204"/>
        <s v="LN0205"/>
        <s v="LN0206"/>
        <s v="LN0207"/>
        <s v="LN0208"/>
        <s v="LN0209"/>
        <s v="LN0210"/>
        <s v="LN0211"/>
        <s v="LN0212"/>
        <s v="LN0213"/>
        <s v="LN0214"/>
        <s v="LN0215"/>
        <s v="LN0216"/>
        <s v="LN0217"/>
        <s v="LN0218"/>
        <s v="LN0219"/>
        <s v="LN0220"/>
        <s v="LN0221"/>
        <s v="LN0222"/>
        <s v="LN0223"/>
        <s v="LN0224"/>
        <s v="LN0225"/>
        <s v="LN0226"/>
        <s v="LN0227"/>
        <s v="LN0228"/>
        <s v="LN0229"/>
        <s v="LN0230"/>
        <s v="LN0231"/>
        <s v="LN0232"/>
        <s v="LN0233"/>
        <s v="LN0234"/>
        <s v="LN0235"/>
        <s v="LN0236"/>
        <s v="LN0237"/>
        <s v="LN0238"/>
        <s v="LN0239"/>
        <s v="LN0240"/>
        <s v="LN0241"/>
        <s v="LN0242"/>
        <s v="LN0243"/>
        <s v="LN0244"/>
        <s v="LN0245"/>
        <s v="LN0246"/>
        <s v="LN0247"/>
        <s v="LN0248"/>
        <s v="LN0249"/>
        <s v="LN0250"/>
        <s v="LN0251"/>
        <s v="LN0252"/>
        <s v="LN0253"/>
        <s v="LN0254"/>
        <s v="LN0255"/>
        <s v="LN0256"/>
        <s v="LN0257"/>
        <s v="LN0258"/>
        <s v="LN0259"/>
        <s v="LN0260"/>
        <s v="LN0261"/>
        <s v="LN0262"/>
        <s v="LN0263"/>
        <s v="LN0264"/>
        <s v="LN0265"/>
        <s v="LN0266"/>
        <s v="LN0267"/>
        <s v="LN0268"/>
        <s v="LN0269"/>
        <s v="LN0270"/>
        <s v="LN0271"/>
        <s v="LN0272"/>
        <s v="LN0273"/>
        <s v="LN0274"/>
        <s v="LN0275"/>
        <s v="LN0276"/>
        <s v="LN0277"/>
        <s v="LN0278"/>
        <s v="LN0279"/>
        <s v="LN0280"/>
        <s v="LN0281"/>
        <s v="LN0282"/>
        <s v="LN0283"/>
        <s v="LN0284"/>
        <s v="LN0285"/>
        <s v="LN0286"/>
        <s v="LN0287"/>
        <s v="LN0288"/>
        <s v="LN0289"/>
        <s v="LN0290"/>
        <s v="LN0291"/>
        <s v="LN0292"/>
        <s v="LN0293"/>
        <s v="LN0294"/>
        <s v="LN0295"/>
        <s v="LN0296"/>
        <s v="LN0297"/>
        <s v="LN0298"/>
        <s v="LN0299"/>
        <s v="LN0300"/>
        <s v="LN0301"/>
        <s v="LN0302"/>
        <s v="LN0303"/>
        <s v="LN0304"/>
        <s v="LN0305"/>
        <s v="LN0306"/>
        <s v="LN0307"/>
        <s v="LN0308"/>
        <s v="LN0309"/>
        <s v="LN0310"/>
        <s v="LN0311"/>
        <s v="LN0312"/>
        <s v="LN0313"/>
        <s v="LN0314"/>
        <s v="LN0315"/>
        <s v="LN0316"/>
        <s v="LN0317"/>
        <s v="LN0318"/>
        <s v="LN0319"/>
        <s v="LN0320"/>
        <s v="LN0321"/>
        <s v="LN0322"/>
        <s v="LN0323"/>
        <s v="LN0324"/>
        <s v="LN0325"/>
        <s v="LN0326"/>
        <s v="LN0327"/>
        <s v="LN0328"/>
        <s v="LN0329"/>
        <s v="LN0330"/>
        <s v="LN0331"/>
        <s v="LN0332"/>
        <s v="LN0333"/>
        <s v="LN0334"/>
        <s v="LN0335"/>
        <s v="LN0336"/>
        <s v="LN0337"/>
        <s v="LN0338"/>
        <s v="LN0339"/>
        <s v="LN0340"/>
        <s v="LN0341"/>
        <s v="LN0342"/>
        <s v="LN0343"/>
        <s v="LN0344"/>
        <s v="LN0345"/>
        <s v="LN0346"/>
        <s v="LN0347"/>
        <s v="LN0348"/>
        <s v="LN0349"/>
        <s v="LN0350"/>
        <s v="LN0351"/>
        <s v="LN0352"/>
        <s v="LN0353"/>
        <s v="LN0354"/>
        <s v="LN0355"/>
        <s v="LN0356"/>
        <s v="LN0357"/>
        <s v="LN0358"/>
        <s v="LN0359"/>
        <s v="LN0360"/>
        <s v="LN0361"/>
        <s v="LN0362"/>
        <s v="LN0363"/>
        <s v="LN0364"/>
        <s v="LN0365"/>
        <s v="LN0366"/>
        <s v="LN0367"/>
        <s v="LN0368"/>
        <s v="LN0369"/>
        <s v="LN0370"/>
        <s v="LN0371"/>
        <s v="LN0372"/>
        <s v="LN0373"/>
        <s v="LN0374"/>
        <s v="LN0375"/>
        <s v="LN0376"/>
        <s v="LN0377"/>
        <s v="LN0378"/>
        <s v="LN0379"/>
        <s v="LN0380"/>
        <s v="LN0381"/>
        <s v="LN0382"/>
        <s v="LN0383"/>
        <s v="LN0384"/>
        <s v="LN0385"/>
        <s v="LN0386"/>
        <s v="LN0387"/>
        <s v="LN0388"/>
        <s v="LN0389"/>
        <s v="LN0390"/>
        <s v="LN0391"/>
        <s v="LN0392"/>
        <s v="LN0393"/>
        <s v="LN0394"/>
        <s v="LN0395"/>
        <s v="LN0396"/>
        <s v="LN0397"/>
        <s v="LN0398"/>
        <s v="LN0399"/>
        <s v="LN0400"/>
        <s v="LN0401"/>
        <s v="LN0402"/>
        <s v="LN0403"/>
        <s v="LN0404"/>
        <s v="LN0405"/>
        <s v="LN0406"/>
        <s v="LN0407"/>
        <s v="LN0408"/>
        <s v="LN0409"/>
        <s v="LN0410"/>
        <s v="LN0411"/>
        <s v="LN0412"/>
        <s v="LN0413"/>
        <s v="LN0414"/>
        <s v="LN0415"/>
        <s v="LN0416"/>
        <s v="LN0417"/>
        <s v="LN0418"/>
        <s v="LN0419"/>
        <s v="LN0420"/>
        <s v="LN0421"/>
        <s v="LN0422"/>
        <s v="LN0423"/>
        <s v="LN0424"/>
        <s v="LN0425"/>
        <s v="LN0426"/>
        <s v="LN0427"/>
        <s v="LN0428"/>
        <s v="LN0429"/>
        <s v="LN0430"/>
        <s v="LN0431"/>
        <s v="LN0432"/>
        <s v="LN0433"/>
        <s v="LN0434"/>
        <s v="LN0435"/>
        <s v="LN0436"/>
        <s v="LN0437"/>
        <s v="LN0438"/>
        <s v="LN0439"/>
        <s v="LN0440"/>
        <s v="LN0441"/>
        <s v="LN0442"/>
        <s v="LN0443"/>
        <s v="LN0444"/>
        <s v="LN0445"/>
        <s v="LN0446"/>
        <s v="LN0447"/>
        <s v="LN0448"/>
        <s v="LN0449"/>
        <s v="LN0450"/>
        <s v="LN0451"/>
        <s v="LN0452"/>
        <s v="LN0453"/>
        <s v="LN0454"/>
        <s v="LN0455"/>
        <s v="LN0456"/>
        <s v="LN0457"/>
        <s v="LN0458"/>
        <s v="LN0459"/>
        <s v="LN0460"/>
        <s v="LN0461"/>
        <s v="LN0462"/>
        <s v="LN0463"/>
        <s v="LN0464"/>
        <s v="LN0465"/>
        <s v="LN0466"/>
        <s v="LN0467"/>
        <s v="LN0468"/>
        <s v="LN0469"/>
        <s v="LN0470"/>
        <s v="LN0471"/>
        <s v="LN0472"/>
        <s v="LN0473"/>
        <s v="LN0474"/>
        <s v="LN0475"/>
        <s v="LN0476"/>
        <s v="LN0477"/>
        <s v="LN0478"/>
        <s v="LN0479"/>
        <s v="LN0480"/>
        <s v="LN0481"/>
        <s v="LN0482"/>
        <s v="LN0483"/>
        <s v="LN0484"/>
        <s v="LN0485"/>
        <s v="LN0486"/>
        <s v="LN0487"/>
        <s v="LN0488"/>
        <s v="LN0489"/>
        <s v="LN0490"/>
        <s v="LN0491"/>
        <s v="LN0492"/>
        <s v="LN0493"/>
        <s v="LN0494"/>
        <s v="LN0495"/>
        <s v="LN0496"/>
        <s v="LN0497"/>
        <s v="LN0498"/>
        <s v="LN0499"/>
        <s v="LN0500"/>
        <m/>
      </sharedItems>
    </cacheField>
    <cacheField name="Application_Date" numFmtId="0">
      <sharedItems containsNonDate="0" containsDate="1" containsString="0" containsBlank="1" minDate="2023-01-05T00:00:00" maxDate="2025-12-29T00:00:00" count="402">
        <d v="2023-11-17T00:00:00"/>
        <d v="2025-07-30T00:00:00"/>
        <d v="2024-08-02T00:00:00"/>
        <d v="2023-12-20T00:00:00"/>
        <d v="2024-02-01T00:00:00"/>
        <d v="2024-01-31T00:00:00"/>
        <d v="2024-01-02T00:00:00"/>
        <d v="2024-09-06T00:00:00"/>
        <d v="2025-12-07T00:00:00"/>
        <d v="2024-10-20T00:00:00"/>
        <d v="2023-01-17T00:00:00"/>
        <d v="2024-03-24T00:00:00"/>
        <d v="2025-11-19T00:00:00"/>
        <d v="2025-01-18T00:00:00"/>
        <d v="2024-11-12T00:00:00"/>
        <d v="2023-12-05T00:00:00"/>
        <d v="2023-09-13T00:00:00"/>
        <d v="2023-01-25T00:00:00"/>
        <d v="2025-04-03T00:00:00"/>
        <d v="2024-08-22T00:00:00"/>
        <d v="2024-02-19T00:00:00"/>
        <d v="2024-08-23T00:00:00"/>
        <d v="2023-11-29T00:00:00"/>
        <d v="2025-02-04T00:00:00"/>
        <d v="2025-08-24T00:00:00"/>
        <d v="2024-03-03T00:00:00"/>
        <d v="2025-01-27T00:00:00"/>
        <d v="2023-04-10T00:00:00"/>
        <d v="2025-04-23T00:00:00"/>
        <d v="2024-05-20T00:00:00"/>
        <d v="2024-10-18T00:00:00"/>
        <d v="2023-12-11T00:00:00"/>
        <d v="2023-08-28T00:00:00"/>
        <d v="2024-03-01T00:00:00"/>
        <d v="2023-08-13T00:00:00"/>
        <d v="2025-07-31T00:00:00"/>
        <d v="2024-06-30T00:00:00"/>
        <d v="2023-11-11T00:00:00"/>
        <d v="2025-12-14T00:00:00"/>
        <d v="2024-12-04T00:00:00"/>
        <d v="2024-10-24T00:00:00"/>
        <d v="2023-09-24T00:00:00"/>
        <d v="2025-02-07T00:00:00"/>
        <d v="2025-07-18T00:00:00"/>
        <d v="2023-08-18T00:00:00"/>
        <d v="2023-06-18T00:00:00"/>
        <d v="2024-06-29T00:00:00"/>
        <d v="2023-09-09T00:00:00"/>
        <d v="2024-01-06T00:00:00"/>
        <d v="2023-02-15T00:00:00"/>
        <d v="2025-07-27T00:00:00"/>
        <d v="2023-10-08T00:00:00"/>
        <d v="2025-06-04T00:00:00"/>
        <d v="2024-05-09T00:00:00"/>
        <d v="2024-10-11T00:00:00"/>
        <d v="2024-06-22T00:00:00"/>
        <d v="2023-01-10T00:00:00"/>
        <d v="2023-02-04T00:00:00"/>
        <d v="2024-06-07T00:00:00"/>
        <d v="2025-11-29T00:00:00"/>
        <d v="2025-12-11T00:00:00"/>
        <d v="2023-09-18T00:00:00"/>
        <d v="2024-12-30T00:00:00"/>
        <d v="2025-12-13T00:00:00"/>
        <d v="2023-02-26T00:00:00"/>
        <d v="2023-05-22T00:00:00"/>
        <d v="2024-03-10T00:00:00"/>
        <d v="2024-04-15T00:00:00"/>
        <d v="2025-12-28T00:00:00"/>
        <d v="2025-04-18T00:00:00"/>
        <d v="2023-06-19T00:00:00"/>
        <d v="2023-07-17T00:00:00"/>
        <d v="2025-09-06T00:00:00"/>
        <d v="2023-03-21T00:00:00"/>
        <d v="2023-08-25T00:00:00"/>
        <d v="2025-10-20T00:00:00"/>
        <d v="2023-06-15T00:00:00"/>
        <d v="2024-06-03T00:00:00"/>
        <d v="2023-05-02T00:00:00"/>
        <d v="2025-11-30T00:00:00"/>
        <d v="2025-03-20T00:00:00"/>
        <d v="2023-10-10T00:00:00"/>
        <d v="2025-05-11T00:00:00"/>
        <d v="2023-11-07T00:00:00"/>
        <d v="2024-10-21T00:00:00"/>
        <d v="2025-06-25T00:00:00"/>
        <d v="2023-10-25T00:00:00"/>
        <d v="2024-05-23T00:00:00"/>
        <d v="2024-06-12T00:00:00"/>
        <d v="2023-06-07T00:00:00"/>
        <d v="2023-04-14T00:00:00"/>
        <d v="2025-04-24T00:00:00"/>
        <d v="2025-06-19T00:00:00"/>
        <d v="2025-07-05T00:00:00"/>
        <d v="2025-07-24T00:00:00"/>
        <d v="2025-07-08T00:00:00"/>
        <d v="2025-11-09T00:00:00"/>
        <d v="2025-05-02T00:00:00"/>
        <d v="2023-11-23T00:00:00"/>
        <d v="2023-08-09T00:00:00"/>
        <d v="2025-08-21T00:00:00"/>
        <d v="2025-01-20T00:00:00"/>
        <d v="2023-09-12T00:00:00"/>
        <d v="2023-11-09T00:00:00"/>
        <d v="2023-05-24T00:00:00"/>
        <d v="2024-04-29T00:00:00"/>
        <d v="2023-01-05T00:00:00"/>
        <d v="2025-06-26T00:00:00"/>
        <d v="2024-08-11T00:00:00"/>
        <d v="2025-10-06T00:00:00"/>
        <d v="2024-09-23T00:00:00"/>
        <d v="2023-11-10T00:00:00"/>
        <d v="2024-11-20T00:00:00"/>
        <d v="2023-10-31T00:00:00"/>
        <d v="2025-12-02T00:00:00"/>
        <d v="2023-05-03T00:00:00"/>
        <d v="2025-04-16T00:00:00"/>
        <d v="2024-07-24T00:00:00"/>
        <d v="2024-09-22T00:00:00"/>
        <d v="2025-04-12T00:00:00"/>
        <d v="2024-02-26T00:00:00"/>
        <d v="2025-01-11T00:00:00"/>
        <d v="2025-10-11T00:00:00"/>
        <d v="2023-10-28T00:00:00"/>
        <d v="2025-12-04T00:00:00"/>
        <d v="2024-05-14T00:00:00"/>
        <d v="2023-10-14T00:00:00"/>
        <d v="2024-02-05T00:00:00"/>
        <d v="2025-04-08T00:00:00"/>
        <d v="2023-05-05T00:00:00"/>
        <d v="2024-05-10T00:00:00"/>
        <d v="2025-12-05T00:00:00"/>
        <d v="2024-01-10T00:00:00"/>
        <d v="2025-09-03T00:00:00"/>
        <d v="2024-01-09T00:00:00"/>
        <d v="2025-09-18T00:00:00"/>
        <d v="2024-05-19T00:00:00"/>
        <d v="2023-04-04T00:00:00"/>
        <d v="2025-11-02T00:00:00"/>
        <d v="2023-08-20T00:00:00"/>
        <d v="2024-11-28T00:00:00"/>
        <d v="2024-04-06T00:00:00"/>
        <d v="2025-09-22T00:00:00"/>
        <d v="2024-10-08T00:00:00"/>
        <d v="2024-02-25T00:00:00"/>
        <d v="2025-04-30T00:00:00"/>
        <d v="2024-10-06T00:00:00"/>
        <d v="2023-02-17T00:00:00"/>
        <d v="2023-08-29T00:00:00"/>
        <d v="2025-04-13T00:00:00"/>
        <d v="2023-04-18T00:00:00"/>
        <d v="2023-06-04T00:00:00"/>
        <d v="2023-03-05T00:00:00"/>
        <d v="2024-12-15T00:00:00"/>
        <d v="2024-05-28T00:00:00"/>
        <d v="2024-09-20T00:00:00"/>
        <d v="2023-06-01T00:00:00"/>
        <d v="2023-02-03T00:00:00"/>
        <d v="2025-02-13T00:00:00"/>
        <d v="2023-12-24T00:00:00"/>
        <d v="2025-07-02T00:00:00"/>
        <d v="2024-04-08T00:00:00"/>
        <d v="2024-07-11T00:00:00"/>
        <d v="2024-01-07T00:00:00"/>
        <d v="2024-02-14T00:00:00"/>
        <d v="2024-12-31T00:00:00"/>
        <d v="2025-02-09T00:00:00"/>
        <d v="2024-11-22T00:00:00"/>
        <d v="2025-03-18T00:00:00"/>
        <d v="2025-12-27T00:00:00"/>
        <d v="2025-10-04T00:00:00"/>
        <d v="2023-12-14T00:00:00"/>
        <d v="2024-09-18T00:00:00"/>
        <d v="2023-10-03T00:00:00"/>
        <d v="2023-12-07T00:00:00"/>
        <d v="2023-04-19T00:00:00"/>
        <d v="2024-06-02T00:00:00"/>
        <d v="2024-10-03T00:00:00"/>
        <d v="2025-09-26T00:00:00"/>
        <d v="2024-02-04T00:00:00"/>
        <d v="2023-03-31T00:00:00"/>
        <d v="2023-09-19T00:00:00"/>
        <d v="2023-04-21T00:00:00"/>
        <d v="2025-09-28T00:00:00"/>
        <d v="2024-08-09T00:00:00"/>
        <d v="2023-08-12T00:00:00"/>
        <d v="2023-09-21T00:00:00"/>
        <d v="2023-03-19T00:00:00"/>
        <d v="2025-03-10T00:00:00"/>
        <d v="2023-02-12T00:00:00"/>
        <d v="2023-11-21T00:00:00"/>
        <d v="2023-04-03T00:00:00"/>
        <d v="2024-07-30T00:00:00"/>
        <d v="2024-08-10T00:00:00"/>
        <d v="2024-11-05T00:00:00"/>
        <d v="2025-11-04T00:00:00"/>
        <d v="2024-11-24T00:00:00"/>
        <d v="2024-09-10T00:00:00"/>
        <d v="2024-06-08T00:00:00"/>
        <d v="2024-09-02T00:00:00"/>
        <d v="2023-08-16T00:00:00"/>
        <d v="2025-02-06T00:00:00"/>
        <d v="2023-10-26T00:00:00"/>
        <d v="2024-10-23T00:00:00"/>
        <d v="2025-10-21T00:00:00"/>
        <d v="2024-12-11T00:00:00"/>
        <d v="2023-09-05T00:00:00"/>
        <d v="2024-04-27T00:00:00"/>
        <d v="2023-12-01T00:00:00"/>
        <d v="2024-04-19T00:00:00"/>
        <d v="2024-12-07T00:00:00"/>
        <d v="2023-11-02T00:00:00"/>
        <d v="2023-10-04T00:00:00"/>
        <d v="2024-12-02T00:00:00"/>
        <d v="2025-01-24T00:00:00"/>
        <d v="2024-09-11T00:00:00"/>
        <d v="2023-11-30T00:00:00"/>
        <d v="2024-11-25T00:00:00"/>
        <d v="2025-09-09T00:00:00"/>
        <d v="2023-05-10T00:00:00"/>
        <d v="2025-03-17T00:00:00"/>
        <d v="2023-10-21T00:00:00"/>
        <d v="2023-07-23T00:00:00"/>
        <d v="2024-07-18T00:00:00"/>
        <d v="2024-02-11T00:00:00"/>
        <d v="2023-04-08T00:00:00"/>
        <d v="2023-11-01T00:00:00"/>
        <d v="2025-09-11T00:00:00"/>
        <d v="2025-09-04T00:00:00"/>
        <d v="2024-06-01T00:00:00"/>
        <d v="2023-07-28T00:00:00"/>
        <d v="2025-02-23T00:00:00"/>
        <d v="2024-12-13T00:00:00"/>
        <d v="2023-11-03T00:00:00"/>
        <d v="2023-01-16T00:00:00"/>
        <d v="2025-12-15T00:00:00"/>
        <d v="2025-06-01T00:00:00"/>
        <d v="2024-06-26T00:00:00"/>
        <d v="2024-05-24T00:00:00"/>
        <d v="2025-09-30T00:00:00"/>
        <d v="2024-09-30T00:00:00"/>
        <d v="2023-02-09T00:00:00"/>
        <d v="2024-10-07T00:00:00"/>
        <d v="2023-12-09T00:00:00"/>
        <d v="2025-03-04T00:00:00"/>
        <d v="2023-09-14T00:00:00"/>
        <d v="2023-10-01T00:00:00"/>
        <d v="2025-04-26T00:00:00"/>
        <d v="2025-10-07T00:00:00"/>
        <d v="2023-08-14T00:00:00"/>
        <d v="2024-05-21T00:00:00"/>
        <d v="2023-07-14T00:00:00"/>
        <d v="2025-12-17T00:00:00"/>
        <d v="2024-04-04T00:00:00"/>
        <d v="2023-11-20T00:00:00"/>
        <d v="2024-08-01T00:00:00"/>
        <d v="2024-05-27T00:00:00"/>
        <d v="2023-12-04T00:00:00"/>
        <d v="2024-07-07T00:00:00"/>
        <d v="2024-08-19T00:00:00"/>
        <d v="2025-04-25T00:00:00"/>
        <d v="2024-05-06T00:00:00"/>
        <d v="2024-01-29T00:00:00"/>
        <d v="2024-11-30T00:00:00"/>
        <d v="2025-06-12T00:00:00"/>
        <d v="2024-02-03T00:00:00"/>
        <d v="2024-11-06T00:00:00"/>
        <d v="2025-02-20T00:00:00"/>
        <d v="2023-01-30T00:00:00"/>
        <d v="2025-01-31T00:00:00"/>
        <d v="2025-08-10T00:00:00"/>
        <d v="2025-11-20T00:00:00"/>
        <d v="2024-09-25T00:00:00"/>
        <d v="2023-01-08T00:00:00"/>
        <d v="2024-12-19T00:00:00"/>
        <d v="2023-01-28T00:00:00"/>
        <d v="2024-07-12T00:00:00"/>
        <d v="2023-06-25T00:00:00"/>
        <d v="2025-12-08T00:00:00"/>
        <d v="2023-07-02T00:00:00"/>
        <d v="2024-12-03T00:00:00"/>
        <d v="2025-10-13T00:00:00"/>
        <d v="2023-04-11T00:00:00"/>
        <d v="2025-09-27T00:00:00"/>
        <d v="2025-04-19T00:00:00"/>
        <d v="2025-05-23T00:00:00"/>
        <d v="2024-05-18T00:00:00"/>
        <d v="2025-02-05T00:00:00"/>
        <d v="2025-01-30T00:00:00"/>
        <d v="2023-06-06T00:00:00"/>
        <d v="2024-03-15T00:00:00"/>
        <d v="2024-09-26T00:00:00"/>
        <d v="2023-04-05T00:00:00"/>
        <d v="2023-02-24T00:00:00"/>
        <d v="2024-11-27T00:00:00"/>
        <d v="2025-10-12T00:00:00"/>
        <d v="2025-04-14T00:00:00"/>
        <d v="2025-10-30T00:00:00"/>
        <d v="2023-03-14T00:00:00"/>
        <d v="2025-09-08T00:00:00"/>
        <d v="2023-05-13T00:00:00"/>
        <d v="2025-02-26T00:00:00"/>
        <d v="2025-08-14T00:00:00"/>
        <d v="2024-04-12T00:00:00"/>
        <d v="2025-12-16T00:00:00"/>
        <d v="2024-09-04T00:00:00"/>
        <d v="2024-08-13T00:00:00"/>
        <d v="2025-02-14T00:00:00"/>
        <d v="2024-03-05T00:00:00"/>
        <d v="2024-01-21T00:00:00"/>
        <d v="2024-10-12T00:00:00"/>
        <d v="2023-10-09T00:00:00"/>
        <d v="2024-06-15T00:00:00"/>
        <d v="2024-05-16T00:00:00"/>
        <d v="2023-05-28T00:00:00"/>
        <d v="2024-08-26T00:00:00"/>
        <d v="2025-02-16T00:00:00"/>
        <d v="2024-05-04T00:00:00"/>
        <d v="2023-02-13T00:00:00"/>
        <d v="2025-08-13T00:00:00"/>
        <d v="2023-01-22T00:00:00"/>
        <d v="2025-10-27T00:00:00"/>
        <d v="2025-05-27T00:00:00"/>
        <d v="2024-01-24T00:00:00"/>
        <d v="2023-02-08T00:00:00"/>
        <d v="2023-05-04T00:00:00"/>
        <d v="2025-08-09T00:00:00"/>
        <d v="2025-01-25T00:00:00"/>
        <d v="2024-01-28T00:00:00"/>
        <d v="2023-11-16T00:00:00"/>
        <d v="2023-09-26T00:00:00"/>
        <d v="2024-06-20T00:00:00"/>
        <d v="2024-10-27T00:00:00"/>
        <d v="2023-04-15T00:00:00"/>
        <d v="2025-03-01T00:00:00"/>
        <d v="2023-10-22T00:00:00"/>
        <d v="2025-05-25T00:00:00"/>
        <d v="2023-03-07T00:00:00"/>
        <d v="2024-01-04T00:00:00"/>
        <d v="2023-02-16T00:00:00"/>
        <d v="2023-01-09T00:00:00"/>
        <d v="2023-01-07T00:00:00"/>
        <d v="2025-04-29T00:00:00"/>
        <d v="2024-05-01T00:00:00"/>
        <d v="2023-07-15T00:00:00"/>
        <d v="2024-07-16T00:00:00"/>
        <d v="2024-06-06T00:00:00"/>
        <d v="2024-12-06T00:00:00"/>
        <d v="2023-07-16T00:00:00"/>
        <d v="2025-08-03T00:00:00"/>
        <d v="2023-02-05T00:00:00"/>
        <d v="2024-03-25T00:00:00"/>
        <d v="2025-03-28T00:00:00"/>
        <d v="2023-12-19T00:00:00"/>
        <d v="2023-07-08T00:00:00"/>
        <d v="2023-09-15T00:00:00"/>
        <d v="2023-07-11T00:00:00"/>
        <d v="2024-02-22T00:00:00"/>
        <d v="2024-05-11T00:00:00"/>
        <d v="2023-06-30T00:00:00"/>
        <d v="2025-03-11T00:00:00"/>
        <d v="2025-08-22T00:00:00"/>
        <d v="2024-11-13T00:00:00"/>
        <d v="2024-07-26T00:00:00"/>
        <d v="2024-03-19T00:00:00"/>
        <d v="2025-11-08T00:00:00"/>
        <d v="2025-10-25T00:00:00"/>
        <d v="2023-10-30T00:00:00"/>
        <d v="2024-06-21T00:00:00"/>
        <d v="2024-02-20T00:00:00"/>
        <d v="2025-04-05T00:00:00"/>
        <d v="2024-01-08T00:00:00"/>
        <d v="2024-09-17T00:00:00"/>
        <d v="2025-10-03T00:00:00"/>
        <d v="2025-09-12T00:00:00"/>
        <d v="2023-03-16T00:00:00"/>
        <d v="2024-09-08T00:00:00"/>
        <d v="2023-03-30T00:00:00"/>
        <d v="2025-08-25T00:00:00"/>
        <d v="2023-09-22T00:00:00"/>
        <d v="2025-03-14T00:00:00"/>
        <d v="2023-03-08T00:00:00"/>
        <d v="2025-08-18T00:00:00"/>
        <d v="2023-03-13T00:00:00"/>
        <d v="2024-10-22T00:00:00"/>
        <d v="2025-05-21T00:00:00"/>
        <d v="2024-02-21T00:00:00"/>
        <d v="2025-12-20T00:00:00"/>
        <d v="2023-01-23T00:00:00"/>
        <d v="2025-05-15T00:00:00"/>
        <d v="2025-02-08T00:00:00"/>
        <d v="2025-01-19T00:00:00"/>
        <d v="2023-07-04T00:00:00"/>
        <d v="2024-08-15T00:00:00"/>
        <d v="2025-11-24T00:00:00"/>
        <d v="2024-07-20T00:00:00"/>
        <d v="2025-05-10T00:00:00"/>
        <d v="2025-06-03T00:00:00"/>
        <d v="2023-12-10T00:00:00"/>
        <d v="2025-12-01T00:00:00"/>
        <d v="2025-05-04T00:00:00"/>
        <m/>
      </sharedItems>
      <fieldGroup par="18"/>
    </cacheField>
    <cacheField name="Customer_Age" numFmtId="0">
      <sharedItems containsString="0" containsBlank="1" containsNumber="1" containsInteger="1" minValue="21" maxValue="65"/>
    </cacheField>
    <cacheField name="Employment_Type" numFmtId="0">
      <sharedItems containsBlank="1" count="4">
        <s v="Salaried"/>
        <s v="Business"/>
        <s v="Self-Employed"/>
        <m/>
      </sharedItems>
    </cacheField>
    <cacheField name="Annual_Income" numFmtId="0">
      <sharedItems containsString="0" containsBlank="1" containsNumber="1" containsInteger="1" minValue="253723" maxValue="2392902"/>
    </cacheField>
    <cacheField name="Credit_Score" numFmtId="0">
      <sharedItems containsString="0" containsBlank="1" containsNumber="1" containsInteger="1" minValue="300" maxValue="849"/>
    </cacheField>
    <cacheField name="Loan_Amount" numFmtId="0">
      <sharedItems containsString="0" containsBlank="1" containsNumber="1" containsInteger="1" minValue="52258" maxValue="1999110"/>
    </cacheField>
    <cacheField name="Interest_Rate" numFmtId="0">
      <sharedItems containsString="0" containsBlank="1" containsNumber="1" containsInteger="1" minValue="6" maxValue="24"/>
    </cacheField>
    <cacheField name="Loan_Term_Months" numFmtId="0">
      <sharedItems containsString="0" containsBlank="1" containsNumber="1" containsInteger="1" minValue="12" maxValue="60"/>
    </cacheField>
    <cacheField name="Loan_Purpose" numFmtId="0">
      <sharedItems containsBlank="1" count="7">
        <s v="Education"/>
        <s v="Personal"/>
        <s v="Home"/>
        <s v="Business"/>
        <s v="Vehicle"/>
        <s v="Medical"/>
        <m/>
      </sharedItems>
    </cacheField>
    <cacheField name="Debt_to_Income" numFmtId="0">
      <sharedItems containsString="0" containsBlank="1" containsNumber="1" minValue="0.1" maxValue="0.6"/>
    </cacheField>
    <cacheField name="Region" numFmtId="0">
      <sharedItems containsBlank="1" count="6">
        <s v="North"/>
        <s v="Central"/>
        <s v="West"/>
        <s v="East"/>
        <s v="South"/>
        <m/>
      </sharedItems>
    </cacheField>
    <cacheField name="Loan_Status" numFmtId="0">
      <sharedItems containsBlank="1" count="5">
        <s v="Closed"/>
        <s v="Defaulted"/>
        <s v="Overdue"/>
        <s v="Active"/>
        <m/>
      </sharedItems>
    </cacheField>
    <cacheField name="Default_Flag" numFmtId="0">
      <sharedItems containsString="0" containsBlank="1" containsNumber="1" containsInteger="1" minValue="0" maxValue="1"/>
    </cacheField>
    <cacheField name="Credit_Score_Band" numFmtId="0">
      <sharedItems containsBlank="1" count="5">
        <s v="Poor"/>
        <s v="Excellent"/>
        <s v="Fair"/>
        <s v="Good"/>
        <m/>
      </sharedItems>
    </cacheField>
    <cacheField name="DTI_Band" numFmtId="0">
      <sharedItems containsBlank="1" count="4">
        <s v="Medium"/>
        <s v="Low"/>
        <s v="High"/>
        <m/>
      </sharedItems>
    </cacheField>
    <cacheField name="Months (Application_Date)" numFmtId="0" databaseField="0">
      <fieldGroup base="1">
        <rangePr groupBy="months" startDate="2023-01-05T00:00:00" endDate="2025-12-29T00:00:00"/>
        <groupItems count="14">
          <s v="&lt;1/5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9/2025"/>
        </groupItems>
      </fieldGroup>
    </cacheField>
    <cacheField name="Quarters (Application_Date)" numFmtId="0" databaseField="0">
      <fieldGroup base="1">
        <rangePr groupBy="quarters" startDate="2023-01-05T00:00:00" endDate="2025-12-29T00:00:00"/>
        <groupItems count="6">
          <s v="&lt;1/5/2023"/>
          <s v="Qtr1"/>
          <s v="Qtr2"/>
          <s v="Qtr3"/>
          <s v="Qtr4"/>
          <s v="&gt;12/29/2025"/>
        </groupItems>
      </fieldGroup>
    </cacheField>
    <cacheField name="Years (Application_Date)" numFmtId="0" databaseField="0">
      <fieldGroup base="1">
        <rangePr groupBy="years" startDate="2023-01-05T00:00:00" endDate="2025-12-29T00:00:00"/>
        <groupItems count="5">
          <s v="&lt;1/5/2023"/>
          <s v="2023"/>
          <s v="2024"/>
          <s v="2025"/>
          <s v="&gt;12/2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500">
  <r>
    <s v="LN0001"/>
    <d v="2023-11-17T00:00:00"/>
    <n v="65"/>
    <s v="Salaried"/>
    <n v="1459358"/>
    <n v="434"/>
    <n v="1730164"/>
    <n v="9"/>
    <n v="24"/>
    <s v="Education"/>
    <n v="0.22"/>
    <s v="North"/>
    <x v="0"/>
    <n v="0"/>
    <s v="Poor"/>
    <s v="Medium"/>
  </r>
  <r>
    <s v="LN0002"/>
    <d v="2025-07-30T00:00:00"/>
    <n v="27"/>
    <s v="Salaried"/>
    <n v="1383991"/>
    <n v="315"/>
    <n v="1604874"/>
    <n v="21"/>
    <n v="60"/>
    <s v="Personal"/>
    <n v="0.39"/>
    <s v="Central"/>
    <x v="1"/>
    <n v="1"/>
    <s v="Poor"/>
    <s v="Medium"/>
  </r>
  <r>
    <s v="LN0003"/>
    <d v="2024-08-02T00:00:00"/>
    <n v="64"/>
    <s v="Business"/>
    <n v="979635"/>
    <n v="786"/>
    <n v="1096480"/>
    <n v="7"/>
    <n v="60"/>
    <s v="Home"/>
    <n v="0.12"/>
    <s v="West"/>
    <x v="1"/>
    <n v="0"/>
    <s v="Excellent"/>
    <s v="Low"/>
  </r>
  <r>
    <s v="LN0004"/>
    <d v="2023-12-20T00:00:00"/>
    <n v="65"/>
    <s v="Salaried"/>
    <n v="1482614"/>
    <n v="580"/>
    <n v="218134"/>
    <n v="17"/>
    <n v="12"/>
    <s v="Business"/>
    <n v="0.36"/>
    <s v="West"/>
    <x v="2"/>
    <n v="0"/>
    <s v="Fair"/>
    <s v="Medium"/>
  </r>
  <r>
    <s v="LN0005"/>
    <d v="2024-02-01T00:00:00"/>
    <n v="65"/>
    <s v="Self-Employed"/>
    <n v="2227831"/>
    <n v="315"/>
    <n v="1396820"/>
    <n v="12"/>
    <n v="24"/>
    <s v="Vehicle"/>
    <n v="0.48"/>
    <s v="North"/>
    <x v="1"/>
    <n v="0"/>
    <s v="Poor"/>
    <s v="High"/>
  </r>
  <r>
    <s v="LN0006"/>
    <d v="2024-01-31T00:00:00"/>
    <n v="57"/>
    <s v="Business"/>
    <n v="1312014"/>
    <n v="694"/>
    <n v="736968"/>
    <n v="23"/>
    <n v="36"/>
    <s v="Personal"/>
    <n v="0.53"/>
    <s v="East"/>
    <x v="1"/>
    <n v="0"/>
    <s v="Good"/>
    <s v="High"/>
  </r>
  <r>
    <s v="LN0007"/>
    <d v="2024-01-02T00:00:00"/>
    <n v="50"/>
    <s v="Salaried"/>
    <n v="1584239"/>
    <n v="806"/>
    <n v="1432594"/>
    <n v="18"/>
    <n v="36"/>
    <s v="Vehicle"/>
    <n v="0.5600000000000001"/>
    <s v="North"/>
    <x v="2"/>
    <n v="0"/>
    <s v="Excellent"/>
    <s v="High"/>
  </r>
  <r>
    <s v="LN0008"/>
    <d v="2024-09-06T00:00:00"/>
    <n v="37"/>
    <s v="Business"/>
    <n v="799794"/>
    <n v="824"/>
    <n v="464708"/>
    <n v="14"/>
    <n v="24"/>
    <s v="Education"/>
    <n v="0.28"/>
    <s v="North"/>
    <x v="0"/>
    <n v="0"/>
    <s v="Excellent"/>
    <s v="Medium"/>
  </r>
  <r>
    <s v="LN0009"/>
    <d v="2025-12-07T00:00:00"/>
    <n v="39"/>
    <s v="Business"/>
    <n v="2170628"/>
    <n v="440"/>
    <n v="1455451"/>
    <n v="16"/>
    <n v="12"/>
    <s v="Vehicle"/>
    <n v="0.58"/>
    <s v="East"/>
    <x v="1"/>
    <n v="1"/>
    <s v="Poor"/>
    <s v="High"/>
  </r>
  <r>
    <s v="LN0010"/>
    <d v="2024-10-20T00:00:00"/>
    <n v="47"/>
    <s v="Business"/>
    <n v="1992137"/>
    <n v="763"/>
    <n v="894268"/>
    <n v="17"/>
    <n v="36"/>
    <s v="Medical"/>
    <n v="0.37"/>
    <s v="West"/>
    <x v="2"/>
    <n v="1"/>
    <s v="Excellent"/>
    <s v="Medium"/>
  </r>
  <r>
    <s v="LN0011"/>
    <d v="2023-01-17T00:00:00"/>
    <n v="51"/>
    <s v="Salaried"/>
    <n v="737473"/>
    <n v="693"/>
    <n v="330315"/>
    <n v="16"/>
    <n v="36"/>
    <s v="Personal"/>
    <n v="0.52"/>
    <s v="Central"/>
    <x v="0"/>
    <n v="0"/>
    <s v="Good"/>
    <s v="High"/>
  </r>
  <r>
    <s v="LN0012"/>
    <d v="2024-03-24T00:00:00"/>
    <n v="35"/>
    <s v="Business"/>
    <n v="1725813"/>
    <n v="798"/>
    <n v="1922714"/>
    <n v="14"/>
    <n v="24"/>
    <s v="Business"/>
    <n v="0.54"/>
    <s v="South"/>
    <x v="0"/>
    <n v="0"/>
    <s v="Excellent"/>
    <s v="High"/>
  </r>
  <r>
    <s v="LN0013"/>
    <d v="2025-11-19T00:00:00"/>
    <n v="46"/>
    <s v="Self-Employed"/>
    <n v="1258993"/>
    <n v="372"/>
    <n v="975336"/>
    <n v="22"/>
    <n v="60"/>
    <s v="Business"/>
    <n v="0.14"/>
    <s v="East"/>
    <x v="3"/>
    <n v="0"/>
    <s v="Poor"/>
    <s v="Low"/>
  </r>
  <r>
    <s v="LN0014"/>
    <d v="2025-01-18T00:00:00"/>
    <n v="33"/>
    <s v="Business"/>
    <n v="1472140"/>
    <n v="411"/>
    <n v="525635"/>
    <n v="23"/>
    <n v="24"/>
    <s v="Vehicle"/>
    <n v="0.14"/>
    <s v="East"/>
    <x v="1"/>
    <n v="0"/>
    <s v="Poor"/>
    <s v="Low"/>
  </r>
  <r>
    <s v="LN0015"/>
    <d v="2024-11-12T00:00:00"/>
    <n v="33"/>
    <s v="Business"/>
    <n v="1248515"/>
    <n v="533"/>
    <n v="1277968"/>
    <n v="23"/>
    <n v="36"/>
    <s v="Personal"/>
    <n v="0.2"/>
    <s v="Central"/>
    <x v="1"/>
    <n v="0"/>
    <s v="Poor"/>
    <s v="Medium"/>
  </r>
  <r>
    <s v="LN0016"/>
    <d v="2023-12-05T00:00:00"/>
    <n v="31"/>
    <s v="Self-Employed"/>
    <n v="1873457"/>
    <n v="471"/>
    <n v="340416"/>
    <n v="12"/>
    <n v="36"/>
    <s v="Education"/>
    <n v="0.13"/>
    <s v="West"/>
    <x v="2"/>
    <n v="0"/>
    <s v="Poor"/>
    <s v="Low"/>
  </r>
  <r>
    <s v="LN0017"/>
    <d v="2025-11-19T00:00:00"/>
    <n v="56"/>
    <s v="Salaried"/>
    <n v="456283"/>
    <n v="761"/>
    <n v="1450418"/>
    <n v="17"/>
    <n v="60"/>
    <s v="Home"/>
    <n v="0.25"/>
    <s v="West"/>
    <x v="2"/>
    <n v="0"/>
    <s v="Excellent"/>
    <s v="Medium"/>
  </r>
  <r>
    <s v="LN0018"/>
    <d v="2023-09-13T00:00:00"/>
    <n v="39"/>
    <s v="Self-Employed"/>
    <n v="477960"/>
    <n v="353"/>
    <n v="1996582"/>
    <n v="10"/>
    <n v="36"/>
    <s v="Business"/>
    <n v="0.12"/>
    <s v="North"/>
    <x v="3"/>
    <n v="1"/>
    <s v="Poor"/>
    <s v="Low"/>
  </r>
  <r>
    <s v="LN0019"/>
    <d v="2023-01-25T00:00:00"/>
    <n v="27"/>
    <s v="Salaried"/>
    <n v="1484839"/>
    <n v="792"/>
    <n v="1369952"/>
    <n v="18"/>
    <n v="36"/>
    <s v="Home"/>
    <n v="0.47"/>
    <s v="North"/>
    <x v="1"/>
    <n v="0"/>
    <s v="Excellent"/>
    <s v="High"/>
  </r>
  <r>
    <s v="LN0020"/>
    <d v="2025-04-03T00:00:00"/>
    <n v="56"/>
    <s v="Salaried"/>
    <n v="1878455"/>
    <n v="553"/>
    <n v="664554"/>
    <n v="10"/>
    <n v="36"/>
    <s v="Medical"/>
    <n v="0.52"/>
    <s v="East"/>
    <x v="1"/>
    <n v="1"/>
    <s v="Poor"/>
    <s v="High"/>
  </r>
  <r>
    <s v="LN0021"/>
    <d v="2024-08-22T00:00:00"/>
    <n v="49"/>
    <s v="Salaried"/>
    <n v="1491070"/>
    <n v="792"/>
    <n v="1157252"/>
    <n v="12"/>
    <n v="24"/>
    <s v="Home"/>
    <n v="0.29"/>
    <s v="East"/>
    <x v="0"/>
    <n v="1"/>
    <s v="Excellent"/>
    <s v="Medium"/>
  </r>
  <r>
    <s v="LN0022"/>
    <d v="2024-02-19T00:00:00"/>
    <n v="48"/>
    <s v="Self-Employed"/>
    <n v="2065103"/>
    <n v="323"/>
    <n v="218127"/>
    <n v="18"/>
    <n v="36"/>
    <s v="Education"/>
    <n v="0.38"/>
    <s v="East"/>
    <x v="3"/>
    <n v="1"/>
    <s v="Poor"/>
    <s v="Medium"/>
  </r>
  <r>
    <s v="LN0023"/>
    <d v="2024-08-23T00:00:00"/>
    <n v="44"/>
    <s v="Salaried"/>
    <n v="364911"/>
    <n v="577"/>
    <n v="1011217"/>
    <n v="12"/>
    <n v="36"/>
    <s v="Business"/>
    <n v="0.28"/>
    <s v="West"/>
    <x v="3"/>
    <n v="0"/>
    <s v="Poor"/>
    <s v="Medium"/>
  </r>
  <r>
    <s v="LN0024"/>
    <d v="2023-11-29T00:00:00"/>
    <n v="25"/>
    <s v="Salaried"/>
    <n v="2258909"/>
    <n v="559"/>
    <n v="324813"/>
    <n v="14"/>
    <n v="12"/>
    <s v="Medical"/>
    <n v="0.4"/>
    <s v="West"/>
    <x v="2"/>
    <n v="0"/>
    <s v="Poor"/>
    <s v="High"/>
  </r>
  <r>
    <s v="LN0025"/>
    <d v="2025-02-04T00:00:00"/>
    <n v="56"/>
    <s v="Business"/>
    <n v="1361208"/>
    <n v="349"/>
    <n v="161238"/>
    <n v="13"/>
    <n v="24"/>
    <s v="Education"/>
    <n v="0.48"/>
    <s v="West"/>
    <x v="0"/>
    <n v="1"/>
    <s v="Poor"/>
    <s v="High"/>
  </r>
  <r>
    <s v="LN0026"/>
    <d v="2025-08-24T00:00:00"/>
    <n v="47"/>
    <s v="Salaried"/>
    <n v="1116062"/>
    <n v="753"/>
    <n v="1962476"/>
    <n v="21"/>
    <n v="12"/>
    <s v="Home"/>
    <n v="0.24"/>
    <s v="North"/>
    <x v="2"/>
    <n v="0"/>
    <s v="Excellent"/>
    <s v="Medium"/>
  </r>
  <r>
    <s v="LN0027"/>
    <d v="2024-03-03T00:00:00"/>
    <n v="51"/>
    <s v="Salaried"/>
    <n v="253723"/>
    <n v="729"/>
    <n v="1239008"/>
    <n v="6"/>
    <n v="24"/>
    <s v="Business"/>
    <n v="0.6"/>
    <s v="South"/>
    <x v="0"/>
    <n v="0"/>
    <s v="Good"/>
    <s v="High"/>
  </r>
  <r>
    <s v="LN0028"/>
    <d v="2025-01-27T00:00:00"/>
    <n v="50"/>
    <s v="Self-Employed"/>
    <n v="326097"/>
    <n v="522"/>
    <n v="1438589"/>
    <n v="23"/>
    <n v="60"/>
    <s v="Business"/>
    <n v="0.43"/>
    <s v="East"/>
    <x v="1"/>
    <n v="0"/>
    <s v="Poor"/>
    <s v="High"/>
  </r>
  <r>
    <s v="LN0029"/>
    <d v="2023-04-10T00:00:00"/>
    <n v="50"/>
    <s v="Business"/>
    <n v="1220643"/>
    <n v="772"/>
    <n v="1842554"/>
    <n v="17"/>
    <n v="12"/>
    <s v="Medical"/>
    <n v="0.18"/>
    <s v="South"/>
    <x v="3"/>
    <n v="0"/>
    <s v="Excellent"/>
    <s v="Low"/>
  </r>
  <r>
    <s v="LN0030"/>
    <d v="2025-04-23T00:00:00"/>
    <n v="28"/>
    <s v="Business"/>
    <n v="1206971"/>
    <n v="409"/>
    <n v="1507135"/>
    <n v="18"/>
    <n v="60"/>
    <s v="Education"/>
    <n v="0.46"/>
    <s v="North"/>
    <x v="1"/>
    <n v="1"/>
    <s v="Poor"/>
    <s v="High"/>
  </r>
  <r>
    <s v="LN0031"/>
    <d v="2024-05-20T00:00:00"/>
    <n v="30"/>
    <s v="Self-Employed"/>
    <n v="1491836"/>
    <n v="622"/>
    <n v="1909520"/>
    <n v="24"/>
    <n v="60"/>
    <s v="Medical"/>
    <n v="0.24"/>
    <s v="North"/>
    <x v="0"/>
    <n v="0"/>
    <s v="Fair"/>
    <s v="Medium"/>
  </r>
  <r>
    <s v="LN0032"/>
    <d v="2024-10-18T00:00:00"/>
    <n v="50"/>
    <s v="Business"/>
    <n v="1032689"/>
    <n v="610"/>
    <n v="736636"/>
    <n v="12"/>
    <n v="24"/>
    <s v="Vehicle"/>
    <n v="0.6"/>
    <s v="West"/>
    <x v="1"/>
    <n v="0"/>
    <s v="Fair"/>
    <s v="High"/>
  </r>
  <r>
    <s v="LN0033"/>
    <d v="2023-12-11T00:00:00"/>
    <n v="47"/>
    <s v="Business"/>
    <n v="1336181"/>
    <n v="416"/>
    <n v="90382"/>
    <n v="18"/>
    <n v="24"/>
    <s v="Home"/>
    <n v="0.24"/>
    <s v="South"/>
    <x v="2"/>
    <n v="0"/>
    <s v="Poor"/>
    <s v="Medium"/>
  </r>
  <r>
    <s v="LN0034"/>
    <d v="2023-08-28T00:00:00"/>
    <n v="41"/>
    <s v="Salaried"/>
    <n v="1316587"/>
    <n v="477"/>
    <n v="1415483"/>
    <n v="23"/>
    <n v="12"/>
    <s v="Education"/>
    <n v="0.19"/>
    <s v="South"/>
    <x v="0"/>
    <n v="0"/>
    <s v="Poor"/>
    <s v="Low"/>
  </r>
  <r>
    <s v="LN0035"/>
    <d v="2024-03-01T00:00:00"/>
    <n v="49"/>
    <s v="Salaried"/>
    <n v="1760749"/>
    <n v="507"/>
    <n v="1274605"/>
    <n v="16"/>
    <n v="60"/>
    <s v="Personal"/>
    <n v="0.51"/>
    <s v="South"/>
    <x v="2"/>
    <n v="1"/>
    <s v="Poor"/>
    <s v="High"/>
  </r>
  <r>
    <s v="LN0036"/>
    <d v="2023-08-13T00:00:00"/>
    <n v="52"/>
    <s v="Salaried"/>
    <n v="493840"/>
    <n v="713"/>
    <n v="1427495"/>
    <n v="16"/>
    <n v="60"/>
    <s v="Business"/>
    <n v="0.21"/>
    <s v="West"/>
    <x v="3"/>
    <n v="0"/>
    <s v="Good"/>
    <s v="Medium"/>
  </r>
  <r>
    <s v="LN0037"/>
    <d v="2025-07-31T00:00:00"/>
    <n v="64"/>
    <s v="Self-Employed"/>
    <n v="1763996"/>
    <n v="801"/>
    <n v="1160778"/>
    <n v="18"/>
    <n v="60"/>
    <s v="Medical"/>
    <n v="0.36"/>
    <s v="West"/>
    <x v="2"/>
    <n v="0"/>
    <s v="Excellent"/>
    <s v="Medium"/>
  </r>
  <r>
    <s v="LN0038"/>
    <d v="2024-06-30T00:00:00"/>
    <n v="43"/>
    <s v="Business"/>
    <n v="260952"/>
    <n v="558"/>
    <n v="788392"/>
    <n v="20"/>
    <n v="60"/>
    <s v="Personal"/>
    <n v="0.46"/>
    <s v="South"/>
    <x v="2"/>
    <n v="1"/>
    <s v="Poor"/>
    <s v="High"/>
  </r>
  <r>
    <s v="LN0039"/>
    <d v="2023-11-11T00:00:00"/>
    <n v="61"/>
    <s v="Business"/>
    <n v="481375"/>
    <n v="448"/>
    <n v="1834042"/>
    <n v="21"/>
    <n v="24"/>
    <s v="Medical"/>
    <n v="0.31"/>
    <s v="South"/>
    <x v="3"/>
    <n v="0"/>
    <s v="Poor"/>
    <s v="Medium"/>
  </r>
  <r>
    <s v="LN0040"/>
    <d v="2025-12-14T00:00:00"/>
    <n v="62"/>
    <s v="Business"/>
    <n v="1976376"/>
    <n v="524"/>
    <n v="1726251"/>
    <n v="14"/>
    <n v="12"/>
    <s v="Vehicle"/>
    <n v="0.29"/>
    <s v="West"/>
    <x v="2"/>
    <n v="0"/>
    <s v="Poor"/>
    <s v="Medium"/>
  </r>
  <r>
    <s v="LN0041"/>
    <d v="2024-12-04T00:00:00"/>
    <n v="64"/>
    <s v="Business"/>
    <n v="1400119"/>
    <n v="460"/>
    <n v="1045880"/>
    <n v="24"/>
    <n v="12"/>
    <s v="Personal"/>
    <n v="0.49"/>
    <s v="South"/>
    <x v="0"/>
    <n v="1"/>
    <s v="Poor"/>
    <s v="High"/>
  </r>
  <r>
    <s v="LN0042"/>
    <d v="2024-10-24T00:00:00"/>
    <n v="39"/>
    <s v="Self-Employed"/>
    <n v="656641"/>
    <n v="604"/>
    <n v="1643535"/>
    <n v="20"/>
    <n v="12"/>
    <s v="Business"/>
    <n v="0.49"/>
    <s v="West"/>
    <x v="0"/>
    <n v="1"/>
    <s v="Fair"/>
    <s v="High"/>
  </r>
  <r>
    <s v="LN0043"/>
    <d v="2023-09-24T00:00:00"/>
    <n v="43"/>
    <s v="Self-Employed"/>
    <n v="969411"/>
    <n v="765"/>
    <n v="719191"/>
    <n v="21"/>
    <n v="12"/>
    <s v="Education"/>
    <n v="0.4"/>
    <s v="East"/>
    <x v="1"/>
    <n v="0"/>
    <s v="Excellent"/>
    <s v="High"/>
  </r>
  <r>
    <s v="LN0044"/>
    <d v="2025-02-07T00:00:00"/>
    <n v="32"/>
    <s v="Salaried"/>
    <n v="385232"/>
    <n v="456"/>
    <n v="1237080"/>
    <n v="9"/>
    <n v="60"/>
    <s v="Personal"/>
    <n v="0.31"/>
    <s v="Central"/>
    <x v="0"/>
    <n v="0"/>
    <s v="Poor"/>
    <s v="Medium"/>
  </r>
  <r>
    <s v="LN0045"/>
    <d v="2025-07-18T00:00:00"/>
    <n v="46"/>
    <s v="Business"/>
    <n v="926982"/>
    <n v="758"/>
    <n v="159294"/>
    <n v="21"/>
    <n v="60"/>
    <s v="Business"/>
    <n v="0.12"/>
    <s v="South"/>
    <x v="1"/>
    <n v="1"/>
    <s v="Excellent"/>
    <s v="Low"/>
  </r>
  <r>
    <s v="LN0046"/>
    <d v="2023-08-18T00:00:00"/>
    <n v="59"/>
    <s v="Business"/>
    <n v="2229019"/>
    <n v="663"/>
    <n v="52958"/>
    <n v="21"/>
    <n v="24"/>
    <s v="Medical"/>
    <n v="0.22"/>
    <s v="Central"/>
    <x v="3"/>
    <n v="0"/>
    <s v="Fair"/>
    <s v="Medium"/>
  </r>
  <r>
    <s v="LN0047"/>
    <d v="2023-06-18T00:00:00"/>
    <n v="56"/>
    <s v="Salaried"/>
    <n v="1356645"/>
    <n v="605"/>
    <n v="139744"/>
    <n v="23"/>
    <n v="36"/>
    <s v="Education"/>
    <n v="0.25"/>
    <s v="North"/>
    <x v="3"/>
    <n v="0"/>
    <s v="Fair"/>
    <s v="Medium"/>
  </r>
  <r>
    <s v="LN0048"/>
    <d v="2024-06-29T00:00:00"/>
    <n v="29"/>
    <s v="Self-Employed"/>
    <n v="2245099"/>
    <n v="785"/>
    <n v="1593062"/>
    <n v="18"/>
    <n v="24"/>
    <s v="Business"/>
    <n v="0.28"/>
    <s v="South"/>
    <x v="0"/>
    <n v="0"/>
    <s v="Excellent"/>
    <s v="Medium"/>
  </r>
  <r>
    <s v="LN0049"/>
    <d v="2023-09-09T00:00:00"/>
    <n v="30"/>
    <s v="Self-Employed"/>
    <n v="1983798"/>
    <n v="661"/>
    <n v="1186485"/>
    <n v="7"/>
    <n v="60"/>
    <s v="Business"/>
    <n v="0.14"/>
    <s v="North"/>
    <x v="1"/>
    <n v="0"/>
    <s v="Fair"/>
    <s v="Low"/>
  </r>
  <r>
    <s v="LN0050"/>
    <d v="2024-01-06T00:00:00"/>
    <n v="59"/>
    <s v="Business"/>
    <n v="670072"/>
    <n v="390"/>
    <n v="757190"/>
    <n v="14"/>
    <n v="36"/>
    <s v="Personal"/>
    <n v="0.43"/>
    <s v="Central"/>
    <x v="0"/>
    <n v="0"/>
    <s v="Poor"/>
    <s v="High"/>
  </r>
  <r>
    <s v="LN0051"/>
    <d v="2023-02-15T00:00:00"/>
    <n v="59"/>
    <s v="Self-Employed"/>
    <n v="1989300"/>
    <n v="441"/>
    <n v="1980222"/>
    <n v="11"/>
    <n v="24"/>
    <s v="Home"/>
    <n v="0.18"/>
    <s v="West"/>
    <x v="2"/>
    <n v="1"/>
    <s v="Poor"/>
    <s v="Low"/>
  </r>
  <r>
    <s v="LN0052"/>
    <d v="2025-07-27T00:00:00"/>
    <n v="30"/>
    <s v="Self-Employed"/>
    <n v="1245221"/>
    <n v="556"/>
    <n v="430296"/>
    <n v="22"/>
    <n v="60"/>
    <s v="Education"/>
    <n v="0.48"/>
    <s v="North"/>
    <x v="1"/>
    <n v="1"/>
    <s v="Poor"/>
    <s v="High"/>
  </r>
  <r>
    <s v="LN0053"/>
    <d v="2023-10-08T00:00:00"/>
    <n v="51"/>
    <s v="Salaried"/>
    <n v="2302674"/>
    <n v="397"/>
    <n v="472542"/>
    <n v="14"/>
    <n v="36"/>
    <s v="Vehicle"/>
    <n v="0.45"/>
    <s v="North"/>
    <x v="3"/>
    <n v="0"/>
    <s v="Poor"/>
    <s v="High"/>
  </r>
  <r>
    <s v="LN0054"/>
    <d v="2025-06-04T00:00:00"/>
    <n v="49"/>
    <s v="Salaried"/>
    <n v="399718"/>
    <n v="328"/>
    <n v="1622272"/>
    <n v="21"/>
    <n v="36"/>
    <s v="Business"/>
    <n v="0.57"/>
    <s v="Central"/>
    <x v="0"/>
    <n v="1"/>
    <s v="Poor"/>
    <s v="High"/>
  </r>
  <r>
    <s v="LN0055"/>
    <d v="2024-05-09T00:00:00"/>
    <n v="31"/>
    <s v="Business"/>
    <n v="1914894"/>
    <n v="508"/>
    <n v="1796632"/>
    <n v="16"/>
    <n v="36"/>
    <s v="Business"/>
    <n v="0.28"/>
    <s v="South"/>
    <x v="0"/>
    <n v="0"/>
    <s v="Poor"/>
    <s v="Medium"/>
  </r>
  <r>
    <s v="LN0056"/>
    <d v="2024-10-11T00:00:00"/>
    <n v="44"/>
    <s v="Business"/>
    <n v="493790"/>
    <n v="494"/>
    <n v="401426"/>
    <n v="24"/>
    <n v="36"/>
    <s v="Home"/>
    <n v="0.36"/>
    <s v="East"/>
    <x v="0"/>
    <n v="0"/>
    <s v="Poor"/>
    <s v="Medium"/>
  </r>
  <r>
    <s v="LN0057"/>
    <d v="2024-06-22T00:00:00"/>
    <n v="59"/>
    <s v="Business"/>
    <n v="976606"/>
    <n v="360"/>
    <n v="525007"/>
    <n v="10"/>
    <n v="12"/>
    <s v="Medical"/>
    <n v="0.34"/>
    <s v="North"/>
    <x v="2"/>
    <n v="0"/>
    <s v="Poor"/>
    <s v="Medium"/>
  </r>
  <r>
    <s v="LN0058"/>
    <d v="2023-01-10T00:00:00"/>
    <n v="41"/>
    <s v="Self-Employed"/>
    <n v="1880167"/>
    <n v="311"/>
    <n v="1964154"/>
    <n v="19"/>
    <n v="12"/>
    <s v="Medical"/>
    <n v="0.46"/>
    <s v="East"/>
    <x v="2"/>
    <n v="1"/>
    <s v="Poor"/>
    <s v="High"/>
  </r>
  <r>
    <s v="LN0059"/>
    <d v="2023-02-04T00:00:00"/>
    <n v="51"/>
    <s v="Business"/>
    <n v="1770190"/>
    <n v="522"/>
    <n v="248192"/>
    <n v="17"/>
    <n v="12"/>
    <s v="Medical"/>
    <n v="0.43"/>
    <s v="West"/>
    <x v="2"/>
    <n v="0"/>
    <s v="Poor"/>
    <s v="High"/>
  </r>
  <r>
    <s v="LN0060"/>
    <d v="2024-06-07T00:00:00"/>
    <n v="40"/>
    <s v="Business"/>
    <n v="1378694"/>
    <n v="545"/>
    <n v="153283"/>
    <n v="22"/>
    <n v="24"/>
    <s v="Personal"/>
    <n v="0.17"/>
    <s v="East"/>
    <x v="0"/>
    <n v="0"/>
    <s v="Poor"/>
    <s v="Low"/>
  </r>
  <r>
    <s v="LN0061"/>
    <d v="2025-11-29T00:00:00"/>
    <n v="51"/>
    <s v="Salaried"/>
    <n v="2020665"/>
    <n v="358"/>
    <n v="1009337"/>
    <n v="16"/>
    <n v="60"/>
    <s v="Business"/>
    <n v="0.21"/>
    <s v="East"/>
    <x v="3"/>
    <n v="0"/>
    <s v="Poor"/>
    <s v="Medium"/>
  </r>
  <r>
    <s v="LN0062"/>
    <d v="2025-12-11T00:00:00"/>
    <n v="26"/>
    <s v="Salaried"/>
    <n v="1505240"/>
    <n v="334"/>
    <n v="154990"/>
    <n v="18"/>
    <n v="36"/>
    <s v="Vehicle"/>
    <n v="0.43"/>
    <s v="Central"/>
    <x v="3"/>
    <n v="0"/>
    <s v="Poor"/>
    <s v="High"/>
  </r>
  <r>
    <s v="LN0063"/>
    <d v="2023-09-18T00:00:00"/>
    <n v="21"/>
    <s v="Business"/>
    <n v="286253"/>
    <n v="655"/>
    <n v="501091"/>
    <n v="11"/>
    <n v="60"/>
    <s v="Business"/>
    <n v="0.43"/>
    <s v="South"/>
    <x v="2"/>
    <n v="0"/>
    <s v="Fair"/>
    <s v="High"/>
  </r>
  <r>
    <s v="LN0064"/>
    <d v="2024-12-30T00:00:00"/>
    <n v="59"/>
    <s v="Salaried"/>
    <n v="1409519"/>
    <n v="375"/>
    <n v="1024802"/>
    <n v="21"/>
    <n v="24"/>
    <s v="Vehicle"/>
    <n v="0.2"/>
    <s v="East"/>
    <x v="2"/>
    <n v="0"/>
    <s v="Poor"/>
    <s v="Medium"/>
  </r>
  <r>
    <s v="LN0065"/>
    <d v="2025-12-13T00:00:00"/>
    <n v="60"/>
    <s v="Self-Employed"/>
    <n v="952274"/>
    <n v="522"/>
    <n v="873673"/>
    <n v="6"/>
    <n v="60"/>
    <s v="Business"/>
    <n v="0.17"/>
    <s v="East"/>
    <x v="0"/>
    <n v="0"/>
    <s v="Poor"/>
    <s v="Low"/>
  </r>
  <r>
    <s v="LN0066"/>
    <d v="2023-02-26T00:00:00"/>
    <n v="51"/>
    <s v="Salaried"/>
    <n v="434805"/>
    <n v="819"/>
    <n v="847670"/>
    <n v="16"/>
    <n v="36"/>
    <s v="Home"/>
    <n v="0.15"/>
    <s v="East"/>
    <x v="0"/>
    <n v="0"/>
    <s v="Excellent"/>
    <s v="Low"/>
  </r>
  <r>
    <s v="LN0067"/>
    <d v="2023-05-22T00:00:00"/>
    <n v="61"/>
    <s v="Business"/>
    <n v="445108"/>
    <n v="634"/>
    <n v="198814"/>
    <n v="15"/>
    <n v="60"/>
    <s v="Business"/>
    <n v="0.43"/>
    <s v="East"/>
    <x v="1"/>
    <n v="0"/>
    <s v="Fair"/>
    <s v="High"/>
  </r>
  <r>
    <s v="LN0068"/>
    <d v="2024-03-10T00:00:00"/>
    <n v="21"/>
    <s v="Business"/>
    <n v="1482456"/>
    <n v="458"/>
    <n v="978840"/>
    <n v="13"/>
    <n v="60"/>
    <s v="Education"/>
    <n v="0.28"/>
    <s v="East"/>
    <x v="1"/>
    <n v="0"/>
    <s v="Poor"/>
    <s v="Medium"/>
  </r>
  <r>
    <s v="LN0069"/>
    <d v="2024-04-15T00:00:00"/>
    <n v="22"/>
    <s v="Business"/>
    <n v="1507106"/>
    <n v="314"/>
    <n v="1535126"/>
    <n v="6"/>
    <n v="24"/>
    <s v="Medical"/>
    <n v="0.45"/>
    <s v="East"/>
    <x v="0"/>
    <n v="1"/>
    <s v="Poor"/>
    <s v="High"/>
  </r>
  <r>
    <s v="LN0070"/>
    <d v="2025-12-28T00:00:00"/>
    <n v="32"/>
    <s v="Business"/>
    <n v="1629175"/>
    <n v="315"/>
    <n v="1859731"/>
    <n v="7"/>
    <n v="36"/>
    <s v="Education"/>
    <n v="0.27"/>
    <s v="Central"/>
    <x v="3"/>
    <n v="0"/>
    <s v="Poor"/>
    <s v="Medium"/>
  </r>
  <r>
    <s v="LN0071"/>
    <d v="2025-04-18T00:00:00"/>
    <n v="49"/>
    <s v="Business"/>
    <n v="2059982"/>
    <n v="464"/>
    <n v="579298"/>
    <n v="10"/>
    <n v="36"/>
    <s v="Education"/>
    <n v="0.34"/>
    <s v="North"/>
    <x v="2"/>
    <n v="1"/>
    <s v="Poor"/>
    <s v="Medium"/>
  </r>
  <r>
    <s v="LN0072"/>
    <d v="2023-06-19T00:00:00"/>
    <n v="57"/>
    <s v="Self-Employed"/>
    <n v="1489166"/>
    <n v="725"/>
    <n v="390225"/>
    <n v="19"/>
    <n v="60"/>
    <s v="Business"/>
    <n v="0.4"/>
    <s v="Central"/>
    <x v="0"/>
    <n v="1"/>
    <s v="Good"/>
    <s v="High"/>
  </r>
  <r>
    <s v="LN0073"/>
    <d v="2023-07-17T00:00:00"/>
    <n v="41"/>
    <s v="Salaried"/>
    <n v="768118"/>
    <n v="300"/>
    <n v="822722"/>
    <n v="20"/>
    <n v="24"/>
    <s v="Personal"/>
    <n v="0.52"/>
    <s v="East"/>
    <x v="1"/>
    <n v="0"/>
    <s v="Poor"/>
    <s v="High"/>
  </r>
  <r>
    <s v="LN0074"/>
    <d v="2025-09-06T00:00:00"/>
    <n v="33"/>
    <s v="Self-Employed"/>
    <n v="2273055"/>
    <n v="437"/>
    <n v="1856507"/>
    <n v="6"/>
    <n v="60"/>
    <s v="Medical"/>
    <n v="0.6"/>
    <s v="South"/>
    <x v="2"/>
    <n v="1"/>
    <s v="Poor"/>
    <s v="High"/>
  </r>
  <r>
    <s v="LN0075"/>
    <d v="2023-01-25T00:00:00"/>
    <n v="56"/>
    <s v="Salaried"/>
    <n v="1598165"/>
    <n v="383"/>
    <n v="581180"/>
    <n v="15"/>
    <n v="36"/>
    <s v="Home"/>
    <n v="0.18"/>
    <s v="West"/>
    <x v="1"/>
    <n v="0"/>
    <s v="Poor"/>
    <s v="Low"/>
  </r>
  <r>
    <s v="LN0076"/>
    <d v="2023-03-21T00:00:00"/>
    <n v="52"/>
    <s v="Business"/>
    <n v="1531587"/>
    <n v="352"/>
    <n v="1741386"/>
    <n v="18"/>
    <n v="12"/>
    <s v="Medical"/>
    <n v="0.14"/>
    <s v="North"/>
    <x v="2"/>
    <n v="1"/>
    <s v="Poor"/>
    <s v="Low"/>
  </r>
  <r>
    <s v="LN0077"/>
    <d v="2023-08-25T00:00:00"/>
    <n v="40"/>
    <s v="Business"/>
    <n v="1510983"/>
    <n v="401"/>
    <n v="203549"/>
    <n v="22"/>
    <n v="12"/>
    <s v="Education"/>
    <n v="0.49"/>
    <s v="South"/>
    <x v="2"/>
    <n v="0"/>
    <s v="Poor"/>
    <s v="High"/>
  </r>
  <r>
    <s v="LN0078"/>
    <d v="2025-10-20T00:00:00"/>
    <n v="28"/>
    <s v="Self-Employed"/>
    <n v="2301203"/>
    <n v="332"/>
    <n v="415041"/>
    <n v="10"/>
    <n v="12"/>
    <s v="Medical"/>
    <n v="0.17"/>
    <s v="North"/>
    <x v="1"/>
    <n v="1"/>
    <s v="Poor"/>
    <s v="Low"/>
  </r>
  <r>
    <s v="LN0079"/>
    <d v="2023-06-15T00:00:00"/>
    <n v="52"/>
    <s v="Salaried"/>
    <n v="1121216"/>
    <n v="477"/>
    <n v="447118"/>
    <n v="19"/>
    <n v="60"/>
    <s v="Business"/>
    <n v="0.3"/>
    <s v="South"/>
    <x v="2"/>
    <n v="0"/>
    <s v="Poor"/>
    <s v="Medium"/>
  </r>
  <r>
    <s v="LN0080"/>
    <d v="2024-06-03T00:00:00"/>
    <n v="58"/>
    <s v="Salaried"/>
    <n v="1742485"/>
    <n v="723"/>
    <n v="1554785"/>
    <n v="24"/>
    <n v="12"/>
    <s v="Business"/>
    <n v="0.26"/>
    <s v="North"/>
    <x v="0"/>
    <n v="0"/>
    <s v="Good"/>
    <s v="Medium"/>
  </r>
  <r>
    <s v="LN0081"/>
    <d v="2023-05-02T00:00:00"/>
    <n v="49"/>
    <s v="Salaried"/>
    <n v="1004005"/>
    <n v="620"/>
    <n v="1336833"/>
    <n v="22"/>
    <n v="24"/>
    <s v="Personal"/>
    <n v="0.42"/>
    <s v="Central"/>
    <x v="0"/>
    <n v="0"/>
    <s v="Fair"/>
    <s v="High"/>
  </r>
  <r>
    <s v="LN0082"/>
    <d v="2025-11-30T00:00:00"/>
    <n v="25"/>
    <s v="Business"/>
    <n v="1477249"/>
    <n v="388"/>
    <n v="1564914"/>
    <n v="22"/>
    <n v="12"/>
    <s v="Education"/>
    <n v="0.2"/>
    <s v="Central"/>
    <x v="1"/>
    <n v="1"/>
    <s v="Poor"/>
    <s v="Medium"/>
  </r>
  <r>
    <s v="LN0083"/>
    <d v="2025-03-20T00:00:00"/>
    <n v="56"/>
    <s v="Business"/>
    <n v="337587"/>
    <n v="645"/>
    <n v="1352906"/>
    <n v="20"/>
    <n v="24"/>
    <s v="Vehicle"/>
    <n v="0.13"/>
    <s v="North"/>
    <x v="3"/>
    <n v="0"/>
    <s v="Fair"/>
    <s v="Low"/>
  </r>
  <r>
    <s v="LN0084"/>
    <d v="2023-10-10T00:00:00"/>
    <n v="56"/>
    <s v="Salaried"/>
    <n v="1339738"/>
    <n v="743"/>
    <n v="1663523"/>
    <n v="11"/>
    <n v="60"/>
    <s v="Business"/>
    <n v="0.4"/>
    <s v="West"/>
    <x v="3"/>
    <n v="0"/>
    <s v="Excellent"/>
    <s v="High"/>
  </r>
  <r>
    <s v="LN0085"/>
    <d v="2025-05-11T00:00:00"/>
    <n v="57"/>
    <s v="Self-Employed"/>
    <n v="2114527"/>
    <n v="778"/>
    <n v="1279039"/>
    <n v="11"/>
    <n v="36"/>
    <s v="Personal"/>
    <n v="0.4"/>
    <s v="West"/>
    <x v="0"/>
    <n v="0"/>
    <s v="Excellent"/>
    <s v="High"/>
  </r>
  <r>
    <s v="LN0086"/>
    <d v="2023-11-07T00:00:00"/>
    <n v="21"/>
    <s v="Business"/>
    <n v="1383708"/>
    <n v="522"/>
    <n v="1756188"/>
    <n v="8"/>
    <n v="36"/>
    <s v="Medical"/>
    <n v="0.11"/>
    <s v="Central"/>
    <x v="0"/>
    <n v="1"/>
    <s v="Poor"/>
    <s v="Low"/>
  </r>
  <r>
    <s v="LN0087"/>
    <d v="2024-10-21T00:00:00"/>
    <n v="57"/>
    <s v="Salaried"/>
    <n v="681407"/>
    <n v="500"/>
    <n v="1143547"/>
    <n v="7"/>
    <n v="60"/>
    <s v="Vehicle"/>
    <n v="0.15"/>
    <s v="North"/>
    <x v="1"/>
    <n v="0"/>
    <s v="Poor"/>
    <s v="Low"/>
  </r>
  <r>
    <s v="LN0088"/>
    <d v="2025-06-25T00:00:00"/>
    <n v="58"/>
    <s v="Business"/>
    <n v="1861836"/>
    <n v="797"/>
    <n v="1732743"/>
    <n v="12"/>
    <n v="12"/>
    <s v="Business"/>
    <n v="0.45"/>
    <s v="South"/>
    <x v="1"/>
    <n v="0"/>
    <s v="Excellent"/>
    <s v="High"/>
  </r>
  <r>
    <s v="LN0089"/>
    <d v="2023-10-25T00:00:00"/>
    <n v="60"/>
    <s v="Self-Employed"/>
    <n v="1523120"/>
    <n v="468"/>
    <n v="1420629"/>
    <n v="13"/>
    <n v="24"/>
    <s v="Personal"/>
    <n v="0.55"/>
    <s v="West"/>
    <x v="0"/>
    <n v="0"/>
    <s v="Poor"/>
    <s v="High"/>
  </r>
  <r>
    <s v="LN0090"/>
    <d v="2024-05-23T00:00:00"/>
    <n v="57"/>
    <s v="Salaried"/>
    <n v="1722492"/>
    <n v="314"/>
    <n v="241242"/>
    <n v="12"/>
    <n v="60"/>
    <s v="Home"/>
    <n v="0.5"/>
    <s v="North"/>
    <x v="2"/>
    <n v="1"/>
    <s v="Poor"/>
    <s v="High"/>
  </r>
  <r>
    <s v="LN0091"/>
    <d v="2024-06-12T00:00:00"/>
    <n v="48"/>
    <s v="Business"/>
    <n v="983232"/>
    <n v="336"/>
    <n v="1628530"/>
    <n v="18"/>
    <n v="24"/>
    <s v="Education"/>
    <n v="0.16"/>
    <s v="North"/>
    <x v="0"/>
    <n v="1"/>
    <s v="Poor"/>
    <s v="Low"/>
  </r>
  <r>
    <s v="LN0092"/>
    <d v="2023-06-07T00:00:00"/>
    <n v="32"/>
    <s v="Business"/>
    <n v="2036387"/>
    <n v="666"/>
    <n v="998991"/>
    <n v="11"/>
    <n v="60"/>
    <s v="Home"/>
    <n v="0.6"/>
    <s v="North"/>
    <x v="1"/>
    <n v="0"/>
    <s v="Fair"/>
    <s v="High"/>
  </r>
  <r>
    <s v="LN0093"/>
    <d v="2023-04-14T00:00:00"/>
    <n v="51"/>
    <s v="Salaried"/>
    <n v="538643"/>
    <n v="478"/>
    <n v="453976"/>
    <n v="23"/>
    <n v="12"/>
    <s v="Home"/>
    <n v="0.57"/>
    <s v="Central"/>
    <x v="1"/>
    <n v="0"/>
    <s v="Poor"/>
    <s v="High"/>
  </r>
  <r>
    <s v="LN0094"/>
    <d v="2025-04-24T00:00:00"/>
    <n v="27"/>
    <s v="Business"/>
    <n v="1388697"/>
    <n v="817"/>
    <n v="753210"/>
    <n v="22"/>
    <n v="24"/>
    <s v="Home"/>
    <n v="0.59"/>
    <s v="North"/>
    <x v="3"/>
    <n v="0"/>
    <s v="Excellent"/>
    <s v="High"/>
  </r>
  <r>
    <s v="LN0095"/>
    <d v="2025-06-19T00:00:00"/>
    <n v="31"/>
    <s v="Business"/>
    <n v="1189026"/>
    <n v="762"/>
    <n v="176375"/>
    <n v="6"/>
    <n v="36"/>
    <s v="Home"/>
    <n v="0.5600000000000001"/>
    <s v="South"/>
    <x v="0"/>
    <n v="0"/>
    <s v="Excellent"/>
    <s v="High"/>
  </r>
  <r>
    <s v="LN0096"/>
    <d v="2025-07-05T00:00:00"/>
    <n v="43"/>
    <s v="Salaried"/>
    <n v="1584743"/>
    <n v="603"/>
    <n v="1694781"/>
    <n v="13"/>
    <n v="24"/>
    <s v="Vehicle"/>
    <n v="0.12"/>
    <s v="West"/>
    <x v="1"/>
    <n v="1"/>
    <s v="Fair"/>
    <s v="Low"/>
  </r>
  <r>
    <s v="LN0097"/>
    <d v="2025-07-24T00:00:00"/>
    <n v="23"/>
    <s v="Self-Employed"/>
    <n v="1235525"/>
    <n v="675"/>
    <n v="1569468"/>
    <n v="8"/>
    <n v="24"/>
    <s v="Business"/>
    <n v="0.36"/>
    <s v="West"/>
    <x v="2"/>
    <n v="0"/>
    <s v="Good"/>
    <s v="Medium"/>
  </r>
  <r>
    <s v="LN0098"/>
    <d v="2024-08-23T00:00:00"/>
    <n v="33"/>
    <s v="Salaried"/>
    <n v="1631463"/>
    <n v="825"/>
    <n v="1447796"/>
    <n v="6"/>
    <n v="24"/>
    <s v="Home"/>
    <n v="0.36"/>
    <s v="North"/>
    <x v="0"/>
    <n v="0"/>
    <s v="Excellent"/>
    <s v="Medium"/>
  </r>
  <r>
    <s v="LN0099"/>
    <d v="2024-12-30T00:00:00"/>
    <n v="33"/>
    <s v="Salaried"/>
    <n v="2154823"/>
    <n v="783"/>
    <n v="464383"/>
    <n v="9"/>
    <n v="60"/>
    <s v="Home"/>
    <n v="0.57"/>
    <s v="West"/>
    <x v="0"/>
    <n v="0"/>
    <s v="Excellent"/>
    <s v="High"/>
  </r>
  <r>
    <s v="LN0100"/>
    <d v="2025-07-08T00:00:00"/>
    <n v="22"/>
    <s v="Self-Employed"/>
    <n v="2000196"/>
    <n v="631"/>
    <n v="1789900"/>
    <n v="15"/>
    <n v="12"/>
    <s v="Personal"/>
    <n v="0.37"/>
    <s v="West"/>
    <x v="2"/>
    <n v="0"/>
    <s v="Fair"/>
    <s v="Medium"/>
  </r>
  <r>
    <s v="LN0101"/>
    <d v="2023-10-08T00:00:00"/>
    <n v="64"/>
    <s v="Self-Employed"/>
    <n v="1017754"/>
    <n v="742"/>
    <n v="1903428"/>
    <n v="13"/>
    <n v="36"/>
    <s v="Education"/>
    <n v="0.54"/>
    <s v="West"/>
    <x v="3"/>
    <n v="1"/>
    <s v="Excellent"/>
    <s v="High"/>
  </r>
  <r>
    <s v="LN0102"/>
    <d v="2025-11-09T00:00:00"/>
    <n v="32"/>
    <s v="Salaried"/>
    <n v="1037179"/>
    <n v="723"/>
    <n v="1546330"/>
    <n v="16"/>
    <n v="60"/>
    <s v="Personal"/>
    <n v="0.37"/>
    <s v="South"/>
    <x v="0"/>
    <n v="0"/>
    <s v="Good"/>
    <s v="Medium"/>
  </r>
  <r>
    <s v="LN0103"/>
    <d v="2025-05-02T00:00:00"/>
    <n v="30"/>
    <s v="Self-Employed"/>
    <n v="272571"/>
    <n v="691"/>
    <n v="1911967"/>
    <n v="17"/>
    <n v="24"/>
    <s v="Medical"/>
    <n v="0.29"/>
    <s v="Central"/>
    <x v="2"/>
    <n v="1"/>
    <s v="Good"/>
    <s v="Medium"/>
  </r>
  <r>
    <s v="LN0104"/>
    <d v="2023-11-23T00:00:00"/>
    <n v="27"/>
    <s v="Salaried"/>
    <n v="1568896"/>
    <n v="749"/>
    <n v="86332"/>
    <n v="8"/>
    <n v="60"/>
    <s v="Education"/>
    <n v="0.35"/>
    <s v="West"/>
    <x v="3"/>
    <n v="0"/>
    <s v="Excellent"/>
    <s v="Medium"/>
  </r>
  <r>
    <s v="LN0105"/>
    <d v="2024-08-02T00:00:00"/>
    <n v="39"/>
    <s v="Business"/>
    <n v="1009621"/>
    <n v="401"/>
    <n v="974461"/>
    <n v="17"/>
    <n v="60"/>
    <s v="Medical"/>
    <n v="0.59"/>
    <s v="East"/>
    <x v="3"/>
    <n v="1"/>
    <s v="Poor"/>
    <s v="High"/>
  </r>
  <r>
    <s v="LN0106"/>
    <d v="2025-04-24T00:00:00"/>
    <n v="24"/>
    <s v="Business"/>
    <n v="1422710"/>
    <n v="459"/>
    <n v="709273"/>
    <n v="22"/>
    <n v="12"/>
    <s v="Education"/>
    <n v="0.48"/>
    <s v="Central"/>
    <x v="2"/>
    <n v="1"/>
    <s v="Poor"/>
    <s v="High"/>
  </r>
  <r>
    <s v="LN0107"/>
    <d v="2023-08-18T00:00:00"/>
    <n v="31"/>
    <s v="Self-Employed"/>
    <n v="1449099"/>
    <n v="735"/>
    <n v="712710"/>
    <n v="10"/>
    <n v="60"/>
    <s v="Home"/>
    <n v="0.17"/>
    <s v="North"/>
    <x v="2"/>
    <n v="0"/>
    <s v="Good"/>
    <s v="Low"/>
  </r>
  <r>
    <s v="LN0108"/>
    <d v="2023-08-09T00:00:00"/>
    <n v="26"/>
    <s v="Salaried"/>
    <n v="2041387"/>
    <n v="707"/>
    <n v="491800"/>
    <n v="15"/>
    <n v="12"/>
    <s v="Education"/>
    <n v="0.52"/>
    <s v="West"/>
    <x v="3"/>
    <n v="1"/>
    <s v="Good"/>
    <s v="High"/>
  </r>
  <r>
    <s v="LN0109"/>
    <d v="2025-08-21T00:00:00"/>
    <n v="63"/>
    <s v="Salaried"/>
    <n v="1439095"/>
    <n v="541"/>
    <n v="181224"/>
    <n v="8"/>
    <n v="60"/>
    <s v="Medical"/>
    <n v="0.11"/>
    <s v="Central"/>
    <x v="0"/>
    <n v="0"/>
    <s v="Poor"/>
    <s v="Low"/>
  </r>
  <r>
    <s v="LN0110"/>
    <d v="2024-06-07T00:00:00"/>
    <n v="26"/>
    <s v="Salaried"/>
    <n v="1168286"/>
    <n v="354"/>
    <n v="1881026"/>
    <n v="10"/>
    <n v="24"/>
    <s v="Home"/>
    <n v="0.58"/>
    <s v="Central"/>
    <x v="3"/>
    <n v="1"/>
    <s v="Poor"/>
    <s v="High"/>
  </r>
  <r>
    <s v="LN0111"/>
    <d v="2025-01-20T00:00:00"/>
    <n v="21"/>
    <s v="Salaried"/>
    <n v="279387"/>
    <n v="779"/>
    <n v="1415199"/>
    <n v="23"/>
    <n v="24"/>
    <s v="Vehicle"/>
    <n v="0.1"/>
    <s v="South"/>
    <x v="1"/>
    <n v="0"/>
    <s v="Excellent"/>
    <s v="Low"/>
  </r>
  <r>
    <s v="LN0112"/>
    <d v="2023-09-12T00:00:00"/>
    <n v="51"/>
    <s v="Self-Employed"/>
    <n v="318571"/>
    <n v="570"/>
    <n v="201991"/>
    <n v="22"/>
    <n v="60"/>
    <s v="Home"/>
    <n v="0.15"/>
    <s v="Central"/>
    <x v="0"/>
    <n v="0"/>
    <s v="Poor"/>
    <s v="Low"/>
  </r>
  <r>
    <s v="LN0113"/>
    <d v="2023-11-09T00:00:00"/>
    <n v="26"/>
    <s v="Self-Employed"/>
    <n v="1019492"/>
    <n v="525"/>
    <n v="208843"/>
    <n v="21"/>
    <n v="60"/>
    <s v="Education"/>
    <n v="0.11"/>
    <s v="West"/>
    <x v="2"/>
    <n v="0"/>
    <s v="Poor"/>
    <s v="Low"/>
  </r>
  <r>
    <s v="LN0114"/>
    <d v="2023-05-24T00:00:00"/>
    <n v="60"/>
    <s v="Business"/>
    <n v="1106568"/>
    <n v="406"/>
    <n v="392999"/>
    <n v="12"/>
    <n v="24"/>
    <s v="Vehicle"/>
    <n v="0.13"/>
    <s v="Central"/>
    <x v="2"/>
    <n v="1"/>
    <s v="Poor"/>
    <s v="Low"/>
  </r>
  <r>
    <s v="LN0115"/>
    <d v="2024-04-29T00:00:00"/>
    <n v="56"/>
    <s v="Self-Employed"/>
    <n v="1134884"/>
    <n v="473"/>
    <n v="1788690"/>
    <n v="8"/>
    <n v="24"/>
    <s v="Education"/>
    <n v="0.21"/>
    <s v="South"/>
    <x v="3"/>
    <n v="0"/>
    <s v="Poor"/>
    <s v="Medium"/>
  </r>
  <r>
    <s v="LN0116"/>
    <d v="2023-01-05T00:00:00"/>
    <n v="31"/>
    <s v="Business"/>
    <n v="718920"/>
    <n v="585"/>
    <n v="1226216"/>
    <n v="24"/>
    <n v="12"/>
    <s v="Personal"/>
    <n v="0.53"/>
    <s v="Central"/>
    <x v="3"/>
    <n v="0"/>
    <s v="Fair"/>
    <s v="High"/>
  </r>
  <r>
    <s v="LN0117"/>
    <d v="2025-06-26T00:00:00"/>
    <n v="36"/>
    <s v="Self-Employed"/>
    <n v="735395"/>
    <n v="563"/>
    <n v="1164549"/>
    <n v="12"/>
    <n v="36"/>
    <s v="Education"/>
    <n v="0.21"/>
    <s v="Central"/>
    <x v="1"/>
    <n v="0"/>
    <s v="Poor"/>
    <s v="Medium"/>
  </r>
  <r>
    <s v="LN0118"/>
    <d v="2024-08-11T00:00:00"/>
    <n v="36"/>
    <s v="Self-Employed"/>
    <n v="2364477"/>
    <n v="496"/>
    <n v="788644"/>
    <n v="20"/>
    <n v="36"/>
    <s v="Business"/>
    <n v="0.15"/>
    <s v="West"/>
    <x v="0"/>
    <n v="0"/>
    <s v="Poor"/>
    <s v="Low"/>
  </r>
  <r>
    <s v="LN0119"/>
    <d v="2025-10-06T00:00:00"/>
    <n v="44"/>
    <s v="Business"/>
    <n v="866209"/>
    <n v="361"/>
    <n v="1789567"/>
    <n v="9"/>
    <n v="24"/>
    <s v="Medical"/>
    <n v="0.2"/>
    <s v="North"/>
    <x v="2"/>
    <n v="0"/>
    <s v="Poor"/>
    <s v="Medium"/>
  </r>
  <r>
    <s v="LN0120"/>
    <d v="2024-09-23T00:00:00"/>
    <n v="61"/>
    <s v="Salaried"/>
    <n v="597316"/>
    <n v="584"/>
    <n v="77360"/>
    <n v="11"/>
    <n v="12"/>
    <s v="Vehicle"/>
    <n v="0.5600000000000001"/>
    <s v="Central"/>
    <x v="0"/>
    <n v="0"/>
    <s v="Fair"/>
    <s v="High"/>
  </r>
  <r>
    <s v="LN0121"/>
    <d v="2023-11-10T00:00:00"/>
    <n v="46"/>
    <s v="Salaried"/>
    <n v="954424"/>
    <n v="399"/>
    <n v="499210"/>
    <n v="16"/>
    <n v="24"/>
    <s v="Home"/>
    <n v="0.38"/>
    <s v="Central"/>
    <x v="3"/>
    <n v="0"/>
    <s v="Poor"/>
    <s v="Medium"/>
  </r>
  <r>
    <s v="LN0122"/>
    <d v="2024-11-20T00:00:00"/>
    <n v="60"/>
    <s v="Salaried"/>
    <n v="736626"/>
    <n v="849"/>
    <n v="170021"/>
    <n v="23"/>
    <n v="36"/>
    <s v="Medical"/>
    <n v="0.47"/>
    <s v="North"/>
    <x v="1"/>
    <n v="0"/>
    <s v="Excellent"/>
    <s v="High"/>
  </r>
  <r>
    <s v="LN0123"/>
    <d v="2023-10-31T00:00:00"/>
    <n v="62"/>
    <s v="Salaried"/>
    <n v="839912"/>
    <n v="343"/>
    <n v="452894"/>
    <n v="19"/>
    <n v="12"/>
    <s v="Medical"/>
    <n v="0.2"/>
    <s v="Central"/>
    <x v="0"/>
    <n v="0"/>
    <s v="Poor"/>
    <s v="Medium"/>
  </r>
  <r>
    <s v="LN0124"/>
    <d v="2025-12-02T00:00:00"/>
    <n v="29"/>
    <s v="Business"/>
    <n v="678155"/>
    <n v="682"/>
    <n v="77418"/>
    <n v="10"/>
    <n v="60"/>
    <s v="Medical"/>
    <n v="0.55"/>
    <s v="East"/>
    <x v="0"/>
    <n v="0"/>
    <s v="Good"/>
    <s v="High"/>
  </r>
  <r>
    <s v="LN0125"/>
    <d v="2023-08-25T00:00:00"/>
    <n v="22"/>
    <s v="Business"/>
    <n v="2191727"/>
    <n v="569"/>
    <n v="1937989"/>
    <n v="7"/>
    <n v="36"/>
    <s v="Business"/>
    <n v="0.42"/>
    <s v="North"/>
    <x v="0"/>
    <n v="1"/>
    <s v="Poor"/>
    <s v="High"/>
  </r>
  <r>
    <s v="LN0126"/>
    <d v="2023-05-03T00:00:00"/>
    <n v="43"/>
    <s v="Salaried"/>
    <n v="1913129"/>
    <n v="536"/>
    <n v="252645"/>
    <n v="9"/>
    <n v="60"/>
    <s v="Vehicle"/>
    <n v="0.59"/>
    <s v="West"/>
    <x v="2"/>
    <n v="1"/>
    <s v="Poor"/>
    <s v="High"/>
  </r>
  <r>
    <s v="LN0127"/>
    <d v="2025-04-16T00:00:00"/>
    <n v="32"/>
    <s v="Salaried"/>
    <n v="2257655"/>
    <n v="457"/>
    <n v="1363564"/>
    <n v="6"/>
    <n v="12"/>
    <s v="Business"/>
    <n v="0.22"/>
    <s v="East"/>
    <x v="1"/>
    <n v="0"/>
    <s v="Poor"/>
    <s v="Medium"/>
  </r>
  <r>
    <s v="LN0128"/>
    <d v="2025-05-11T00:00:00"/>
    <n v="62"/>
    <s v="Business"/>
    <n v="1730894"/>
    <n v="523"/>
    <n v="227350"/>
    <n v="24"/>
    <n v="12"/>
    <s v="Home"/>
    <n v="0.33"/>
    <s v="South"/>
    <x v="1"/>
    <n v="0"/>
    <s v="Poor"/>
    <s v="Medium"/>
  </r>
  <r>
    <s v="LN0129"/>
    <d v="2024-07-24T00:00:00"/>
    <n v="40"/>
    <s v="Business"/>
    <n v="1437829"/>
    <n v="798"/>
    <n v="1878794"/>
    <n v="11"/>
    <n v="24"/>
    <s v="Education"/>
    <n v="0.24"/>
    <s v="South"/>
    <x v="0"/>
    <n v="0"/>
    <s v="Excellent"/>
    <s v="Medium"/>
  </r>
  <r>
    <s v="LN0130"/>
    <d v="2024-09-22T00:00:00"/>
    <n v="45"/>
    <s v="Business"/>
    <n v="1735544"/>
    <n v="655"/>
    <n v="286155"/>
    <n v="8"/>
    <n v="12"/>
    <s v="Home"/>
    <n v="0.27"/>
    <s v="East"/>
    <x v="2"/>
    <n v="0"/>
    <s v="Fair"/>
    <s v="Medium"/>
  </r>
  <r>
    <s v="LN0131"/>
    <d v="2025-04-12T00:00:00"/>
    <n v="63"/>
    <s v="Business"/>
    <n v="292891"/>
    <n v="614"/>
    <n v="1723693"/>
    <n v="7"/>
    <n v="36"/>
    <s v="Personal"/>
    <n v="0.43"/>
    <s v="West"/>
    <x v="2"/>
    <n v="0"/>
    <s v="Fair"/>
    <s v="High"/>
  </r>
  <r>
    <s v="LN0132"/>
    <d v="2024-02-26T00:00:00"/>
    <n v="40"/>
    <s v="Salaried"/>
    <n v="355808"/>
    <n v="583"/>
    <n v="1335131"/>
    <n v="20"/>
    <n v="12"/>
    <s v="Personal"/>
    <n v="0.24"/>
    <s v="East"/>
    <x v="2"/>
    <n v="0"/>
    <s v="Fair"/>
    <s v="Medium"/>
  </r>
  <r>
    <s v="LN0133"/>
    <d v="2025-01-11T00:00:00"/>
    <n v="42"/>
    <s v="Salaried"/>
    <n v="671557"/>
    <n v="420"/>
    <n v="1269870"/>
    <n v="20"/>
    <n v="24"/>
    <s v="Medical"/>
    <n v="0.46"/>
    <s v="East"/>
    <x v="3"/>
    <n v="1"/>
    <s v="Poor"/>
    <s v="High"/>
  </r>
  <r>
    <s v="LN0134"/>
    <d v="2025-10-11T00:00:00"/>
    <n v="37"/>
    <s v="Salaried"/>
    <n v="682788"/>
    <n v="848"/>
    <n v="854800"/>
    <n v="9"/>
    <n v="24"/>
    <s v="Education"/>
    <n v="0.25"/>
    <s v="Central"/>
    <x v="1"/>
    <n v="0"/>
    <s v="Excellent"/>
    <s v="Medium"/>
  </r>
  <r>
    <s v="LN0135"/>
    <d v="2023-10-28T00:00:00"/>
    <n v="28"/>
    <s v="Self-Employed"/>
    <n v="1635606"/>
    <n v="469"/>
    <n v="1132433"/>
    <n v="24"/>
    <n v="12"/>
    <s v="Education"/>
    <n v="0.28"/>
    <s v="Central"/>
    <x v="0"/>
    <n v="0"/>
    <s v="Poor"/>
    <s v="Medium"/>
  </r>
  <r>
    <s v="LN0136"/>
    <d v="2025-12-04T00:00:00"/>
    <n v="60"/>
    <s v="Self-Employed"/>
    <n v="1933678"/>
    <n v="513"/>
    <n v="1516784"/>
    <n v="24"/>
    <n v="60"/>
    <s v="Home"/>
    <n v="0.11"/>
    <s v="East"/>
    <x v="3"/>
    <n v="1"/>
    <s v="Poor"/>
    <s v="Low"/>
  </r>
  <r>
    <s v="LN0137"/>
    <d v="2024-05-14T00:00:00"/>
    <n v="56"/>
    <s v="Salaried"/>
    <n v="2172374"/>
    <n v="791"/>
    <n v="623432"/>
    <n v="18"/>
    <n v="36"/>
    <s v="Business"/>
    <n v="0.11"/>
    <s v="Central"/>
    <x v="2"/>
    <n v="0"/>
    <s v="Excellent"/>
    <s v="Low"/>
  </r>
  <r>
    <s v="LN0138"/>
    <d v="2023-10-14T00:00:00"/>
    <n v="47"/>
    <s v="Salaried"/>
    <n v="823313"/>
    <n v="370"/>
    <n v="1107137"/>
    <n v="23"/>
    <n v="12"/>
    <s v="Home"/>
    <n v="0.6"/>
    <s v="South"/>
    <x v="0"/>
    <n v="0"/>
    <s v="Poor"/>
    <s v="High"/>
  </r>
  <r>
    <s v="LN0139"/>
    <d v="2024-02-05T00:00:00"/>
    <n v="22"/>
    <s v="Salaried"/>
    <n v="283741"/>
    <n v="780"/>
    <n v="1165828"/>
    <n v="23"/>
    <n v="12"/>
    <s v="Vehicle"/>
    <n v="0.33"/>
    <s v="West"/>
    <x v="0"/>
    <n v="0"/>
    <s v="Excellent"/>
    <s v="Medium"/>
  </r>
  <r>
    <s v="LN0140"/>
    <d v="2025-04-08T00:00:00"/>
    <n v="38"/>
    <s v="Business"/>
    <n v="980943"/>
    <n v="457"/>
    <n v="838261"/>
    <n v="12"/>
    <n v="36"/>
    <s v="Vehicle"/>
    <n v="0.6"/>
    <s v="South"/>
    <x v="0"/>
    <n v="1"/>
    <s v="Poor"/>
    <s v="High"/>
  </r>
  <r>
    <s v="LN0141"/>
    <d v="2023-05-05T00:00:00"/>
    <n v="60"/>
    <s v="Self-Employed"/>
    <n v="1991410"/>
    <n v="753"/>
    <n v="1317762"/>
    <n v="9"/>
    <n v="60"/>
    <s v="Vehicle"/>
    <n v="0.15"/>
    <s v="Central"/>
    <x v="3"/>
    <n v="0"/>
    <s v="Excellent"/>
    <s v="Low"/>
  </r>
  <r>
    <s v="LN0142"/>
    <d v="2024-05-10T00:00:00"/>
    <n v="30"/>
    <s v="Business"/>
    <n v="1033597"/>
    <n v="742"/>
    <n v="857478"/>
    <n v="15"/>
    <n v="24"/>
    <s v="Personal"/>
    <n v="0.51"/>
    <s v="North"/>
    <x v="2"/>
    <n v="0"/>
    <s v="Excellent"/>
    <s v="High"/>
  </r>
  <r>
    <s v="LN0143"/>
    <d v="2025-12-05T00:00:00"/>
    <n v="56"/>
    <s v="Business"/>
    <n v="1204896"/>
    <n v="531"/>
    <n v="1691657"/>
    <n v="13"/>
    <n v="12"/>
    <s v="Medical"/>
    <n v="0.27"/>
    <s v="South"/>
    <x v="2"/>
    <n v="0"/>
    <s v="Poor"/>
    <s v="Medium"/>
  </r>
  <r>
    <s v="LN0144"/>
    <d v="2024-01-10T00:00:00"/>
    <n v="63"/>
    <s v="Salaried"/>
    <n v="927339"/>
    <n v="481"/>
    <n v="768098"/>
    <n v="7"/>
    <n v="12"/>
    <s v="Personal"/>
    <n v="0.57"/>
    <s v="North"/>
    <x v="2"/>
    <n v="0"/>
    <s v="Poor"/>
    <s v="High"/>
  </r>
  <r>
    <s v="LN0145"/>
    <d v="2025-10-06T00:00:00"/>
    <n v="32"/>
    <s v="Business"/>
    <n v="1123246"/>
    <n v="380"/>
    <n v="1377724"/>
    <n v="17"/>
    <n v="12"/>
    <s v="Home"/>
    <n v="0.52"/>
    <s v="North"/>
    <x v="1"/>
    <n v="1"/>
    <s v="Poor"/>
    <s v="High"/>
  </r>
  <r>
    <s v="LN0146"/>
    <d v="2025-09-03T00:00:00"/>
    <n v="21"/>
    <s v="Salaried"/>
    <n v="1504868"/>
    <n v="363"/>
    <n v="1075236"/>
    <n v="16"/>
    <n v="24"/>
    <s v="Business"/>
    <n v="0.22"/>
    <s v="North"/>
    <x v="1"/>
    <n v="0"/>
    <s v="Poor"/>
    <s v="Medium"/>
  </r>
  <r>
    <s v="LN0147"/>
    <d v="2024-01-09T00:00:00"/>
    <n v="26"/>
    <s v="Business"/>
    <n v="1637964"/>
    <n v="426"/>
    <n v="52258"/>
    <n v="23"/>
    <n v="60"/>
    <s v="Home"/>
    <n v="0.49"/>
    <s v="East"/>
    <x v="3"/>
    <n v="0"/>
    <s v="Poor"/>
    <s v="High"/>
  </r>
  <r>
    <s v="LN0148"/>
    <d v="2025-09-18T00:00:00"/>
    <n v="34"/>
    <s v="Business"/>
    <n v="338841"/>
    <n v="338"/>
    <n v="154183"/>
    <n v="18"/>
    <n v="24"/>
    <s v="Vehicle"/>
    <n v="0.32"/>
    <s v="West"/>
    <x v="1"/>
    <n v="0"/>
    <s v="Poor"/>
    <s v="Medium"/>
  </r>
  <r>
    <s v="LN0149"/>
    <d v="2024-05-19T00:00:00"/>
    <n v="55"/>
    <s v="Self-Employed"/>
    <n v="383729"/>
    <n v="441"/>
    <n v="377720"/>
    <n v="17"/>
    <n v="24"/>
    <s v="Business"/>
    <n v="0.34"/>
    <s v="West"/>
    <x v="1"/>
    <n v="0"/>
    <s v="Poor"/>
    <s v="Medium"/>
  </r>
  <r>
    <s v="LN0150"/>
    <d v="2023-04-04T00:00:00"/>
    <n v="39"/>
    <s v="Business"/>
    <n v="300551"/>
    <n v="708"/>
    <n v="390890"/>
    <n v="10"/>
    <n v="12"/>
    <s v="Personal"/>
    <n v="0.2"/>
    <s v="South"/>
    <x v="1"/>
    <n v="0"/>
    <s v="Good"/>
    <s v="Medium"/>
  </r>
  <r>
    <s v="LN0151"/>
    <d v="2025-11-02T00:00:00"/>
    <n v="49"/>
    <s v="Business"/>
    <n v="341717"/>
    <n v="655"/>
    <n v="1022602"/>
    <n v="24"/>
    <n v="36"/>
    <s v="Vehicle"/>
    <n v="0.46"/>
    <s v="West"/>
    <x v="3"/>
    <n v="0"/>
    <s v="Fair"/>
    <s v="High"/>
  </r>
  <r>
    <s v="LN0152"/>
    <d v="2023-08-20T00:00:00"/>
    <n v="40"/>
    <s v="Self-Employed"/>
    <n v="1092899"/>
    <n v="791"/>
    <n v="546984"/>
    <n v="24"/>
    <n v="60"/>
    <s v="Home"/>
    <n v="0.52"/>
    <s v="Central"/>
    <x v="0"/>
    <n v="0"/>
    <s v="Excellent"/>
    <s v="High"/>
  </r>
  <r>
    <s v="LN0153"/>
    <d v="2024-11-28T00:00:00"/>
    <n v="22"/>
    <s v="Salaried"/>
    <n v="889753"/>
    <n v="829"/>
    <n v="1328093"/>
    <n v="24"/>
    <n v="24"/>
    <s v="Business"/>
    <n v="0.36"/>
    <s v="North"/>
    <x v="3"/>
    <n v="0"/>
    <s v="Excellent"/>
    <s v="Medium"/>
  </r>
  <r>
    <s v="LN0154"/>
    <d v="2024-04-06T00:00:00"/>
    <n v="41"/>
    <s v="Salaried"/>
    <n v="973025"/>
    <n v="546"/>
    <n v="722712"/>
    <n v="22"/>
    <n v="12"/>
    <s v="Home"/>
    <n v="0.38"/>
    <s v="North"/>
    <x v="3"/>
    <n v="0"/>
    <s v="Poor"/>
    <s v="Medium"/>
  </r>
  <r>
    <s v="LN0155"/>
    <d v="2025-09-22T00:00:00"/>
    <n v="41"/>
    <s v="Business"/>
    <n v="2380607"/>
    <n v="354"/>
    <n v="681720"/>
    <n v="12"/>
    <n v="12"/>
    <s v="Education"/>
    <n v="0.53"/>
    <s v="Central"/>
    <x v="3"/>
    <n v="0"/>
    <s v="Poor"/>
    <s v="High"/>
  </r>
  <r>
    <s v="LN0156"/>
    <d v="2024-10-08T00:00:00"/>
    <n v="38"/>
    <s v="Salaried"/>
    <n v="1369242"/>
    <n v="617"/>
    <n v="88941"/>
    <n v="13"/>
    <n v="24"/>
    <s v="Education"/>
    <n v="0.57"/>
    <s v="East"/>
    <x v="2"/>
    <n v="0"/>
    <s v="Fair"/>
    <s v="High"/>
  </r>
  <r>
    <s v="LN0157"/>
    <d v="2024-02-25T00:00:00"/>
    <n v="48"/>
    <s v="Self-Employed"/>
    <n v="1660198"/>
    <n v="468"/>
    <n v="444014"/>
    <n v="20"/>
    <n v="36"/>
    <s v="Medical"/>
    <n v="0.23"/>
    <s v="East"/>
    <x v="2"/>
    <n v="0"/>
    <s v="Poor"/>
    <s v="Medium"/>
  </r>
  <r>
    <s v="LN0158"/>
    <d v="2025-04-30T00:00:00"/>
    <n v="28"/>
    <s v="Business"/>
    <n v="571937"/>
    <n v="733"/>
    <n v="1681313"/>
    <n v="20"/>
    <n v="36"/>
    <s v="Vehicle"/>
    <n v="0.22"/>
    <s v="North"/>
    <x v="2"/>
    <n v="0"/>
    <s v="Good"/>
    <s v="Medium"/>
  </r>
  <r>
    <s v="LN0159"/>
    <d v="2024-10-06T00:00:00"/>
    <n v="59"/>
    <s v="Salaried"/>
    <n v="1354521"/>
    <n v="426"/>
    <n v="1770038"/>
    <n v="6"/>
    <n v="12"/>
    <s v="Home"/>
    <n v="0.3"/>
    <s v="North"/>
    <x v="0"/>
    <n v="1"/>
    <s v="Poor"/>
    <s v="Medium"/>
  </r>
  <r>
    <s v="LN0160"/>
    <d v="2023-02-17T00:00:00"/>
    <n v="62"/>
    <s v="Self-Employed"/>
    <n v="575901"/>
    <n v="511"/>
    <n v="860186"/>
    <n v="9"/>
    <n v="12"/>
    <s v="Medical"/>
    <n v="0.5"/>
    <s v="South"/>
    <x v="3"/>
    <n v="1"/>
    <s v="Poor"/>
    <s v="High"/>
  </r>
  <r>
    <s v="LN0161"/>
    <d v="2023-08-29T00:00:00"/>
    <n v="44"/>
    <s v="Self-Employed"/>
    <n v="1212359"/>
    <n v="633"/>
    <n v="358019"/>
    <n v="11"/>
    <n v="36"/>
    <s v="Personal"/>
    <n v="0.5600000000000001"/>
    <s v="East"/>
    <x v="1"/>
    <n v="0"/>
    <s v="Fair"/>
    <s v="High"/>
  </r>
  <r>
    <s v="LN0162"/>
    <d v="2024-05-14T00:00:00"/>
    <n v="56"/>
    <s v="Business"/>
    <n v="1345379"/>
    <n v="720"/>
    <n v="912530"/>
    <n v="21"/>
    <n v="60"/>
    <s v="Business"/>
    <n v="0.19"/>
    <s v="Central"/>
    <x v="0"/>
    <n v="0"/>
    <s v="Good"/>
    <s v="Low"/>
  </r>
  <r>
    <s v="LN0163"/>
    <d v="2025-04-13T00:00:00"/>
    <n v="22"/>
    <s v="Salaried"/>
    <n v="1394639"/>
    <n v="372"/>
    <n v="1692656"/>
    <n v="14"/>
    <n v="24"/>
    <s v="Vehicle"/>
    <n v="0.42"/>
    <s v="West"/>
    <x v="1"/>
    <n v="1"/>
    <s v="Poor"/>
    <s v="High"/>
  </r>
  <r>
    <s v="LN0164"/>
    <d v="2023-04-18T00:00:00"/>
    <n v="43"/>
    <s v="Business"/>
    <n v="1815760"/>
    <n v="578"/>
    <n v="1576467"/>
    <n v="11"/>
    <n v="12"/>
    <s v="Business"/>
    <n v="0.28"/>
    <s v="Central"/>
    <x v="1"/>
    <n v="1"/>
    <s v="Poor"/>
    <s v="Medium"/>
  </r>
  <r>
    <s v="LN0165"/>
    <d v="2023-06-04T00:00:00"/>
    <n v="32"/>
    <s v="Salaried"/>
    <n v="549497"/>
    <n v="508"/>
    <n v="526375"/>
    <n v="20"/>
    <n v="24"/>
    <s v="Business"/>
    <n v="0.23"/>
    <s v="Central"/>
    <x v="3"/>
    <n v="0"/>
    <s v="Poor"/>
    <s v="Medium"/>
  </r>
  <r>
    <s v="LN0166"/>
    <d v="2023-03-05T00:00:00"/>
    <n v="39"/>
    <s v="Self-Employed"/>
    <n v="2045890"/>
    <n v="609"/>
    <n v="779100"/>
    <n v="24"/>
    <n v="12"/>
    <s v="Business"/>
    <n v="0.11"/>
    <s v="North"/>
    <x v="3"/>
    <n v="0"/>
    <s v="Fair"/>
    <s v="Low"/>
  </r>
  <r>
    <s v="LN0167"/>
    <d v="2024-12-15T00:00:00"/>
    <n v="65"/>
    <s v="Salaried"/>
    <n v="1665674"/>
    <n v="406"/>
    <n v="1417858"/>
    <n v="16"/>
    <n v="24"/>
    <s v="Medical"/>
    <n v="0.29"/>
    <s v="North"/>
    <x v="2"/>
    <n v="0"/>
    <s v="Poor"/>
    <s v="Medium"/>
  </r>
  <r>
    <s v="LN0168"/>
    <d v="2024-05-28T00:00:00"/>
    <n v="40"/>
    <s v="Business"/>
    <n v="967542"/>
    <n v="497"/>
    <n v="1198626"/>
    <n v="13"/>
    <n v="36"/>
    <s v="Business"/>
    <n v="0.11"/>
    <s v="East"/>
    <x v="3"/>
    <n v="0"/>
    <s v="Poor"/>
    <s v="Low"/>
  </r>
  <r>
    <s v="LN0169"/>
    <d v="2024-09-20T00:00:00"/>
    <n v="34"/>
    <s v="Salaried"/>
    <n v="1512888"/>
    <n v="335"/>
    <n v="945039"/>
    <n v="9"/>
    <n v="36"/>
    <s v="Vehicle"/>
    <n v="0.58"/>
    <s v="West"/>
    <x v="0"/>
    <n v="1"/>
    <s v="Poor"/>
    <s v="High"/>
  </r>
  <r>
    <s v="LN0170"/>
    <d v="2025-05-11T00:00:00"/>
    <n v="34"/>
    <s v="Business"/>
    <n v="765218"/>
    <n v="678"/>
    <n v="731357"/>
    <n v="24"/>
    <n v="24"/>
    <s v="Vehicle"/>
    <n v="0.41"/>
    <s v="Central"/>
    <x v="1"/>
    <n v="0"/>
    <s v="Good"/>
    <s v="High"/>
  </r>
  <r>
    <s v="LN0171"/>
    <d v="2023-06-01T00:00:00"/>
    <n v="30"/>
    <s v="Business"/>
    <n v="1532924"/>
    <n v="324"/>
    <n v="1466183"/>
    <n v="12"/>
    <n v="12"/>
    <s v="Medical"/>
    <n v="0.4"/>
    <s v="South"/>
    <x v="3"/>
    <n v="0"/>
    <s v="Poor"/>
    <s v="High"/>
  </r>
  <r>
    <s v="LN0172"/>
    <d v="2023-02-03T00:00:00"/>
    <n v="62"/>
    <s v="Self-Employed"/>
    <n v="1738021"/>
    <n v="646"/>
    <n v="947191"/>
    <n v="12"/>
    <n v="36"/>
    <s v="Home"/>
    <n v="0.52"/>
    <s v="North"/>
    <x v="0"/>
    <n v="0"/>
    <s v="Fair"/>
    <s v="High"/>
  </r>
  <r>
    <s v="LN0173"/>
    <d v="2025-04-30T00:00:00"/>
    <n v="25"/>
    <s v="Business"/>
    <n v="1064467"/>
    <n v="622"/>
    <n v="159990"/>
    <n v="13"/>
    <n v="36"/>
    <s v="Personal"/>
    <n v="0.32"/>
    <s v="South"/>
    <x v="0"/>
    <n v="0"/>
    <s v="Fair"/>
    <s v="Medium"/>
  </r>
  <r>
    <s v="LN0174"/>
    <d v="2024-06-12T00:00:00"/>
    <n v="56"/>
    <s v="Self-Employed"/>
    <n v="918852"/>
    <n v="811"/>
    <n v="1248384"/>
    <n v="11"/>
    <n v="60"/>
    <s v="Home"/>
    <n v="0.47"/>
    <s v="East"/>
    <x v="3"/>
    <n v="0"/>
    <s v="Excellent"/>
    <s v="High"/>
  </r>
  <r>
    <s v="LN0175"/>
    <d v="2024-03-10T00:00:00"/>
    <n v="35"/>
    <s v="Self-Employed"/>
    <n v="1705397"/>
    <n v="533"/>
    <n v="627318"/>
    <n v="6"/>
    <n v="12"/>
    <s v="Home"/>
    <n v="0.48"/>
    <s v="East"/>
    <x v="3"/>
    <n v="1"/>
    <s v="Poor"/>
    <s v="High"/>
  </r>
  <r>
    <s v="LN0176"/>
    <d v="2025-02-13T00:00:00"/>
    <n v="23"/>
    <s v="Salaried"/>
    <n v="860925"/>
    <n v="750"/>
    <n v="1450838"/>
    <n v="12"/>
    <n v="60"/>
    <s v="Business"/>
    <n v="0.49"/>
    <s v="North"/>
    <x v="1"/>
    <n v="0"/>
    <s v="Excellent"/>
    <s v="High"/>
  </r>
  <r>
    <s v="LN0177"/>
    <d v="2023-08-28T00:00:00"/>
    <n v="36"/>
    <s v="Self-Employed"/>
    <n v="713089"/>
    <n v="674"/>
    <n v="1527452"/>
    <n v="8"/>
    <n v="60"/>
    <s v="Home"/>
    <n v="0.48"/>
    <s v="Central"/>
    <x v="2"/>
    <n v="1"/>
    <s v="Good"/>
    <s v="High"/>
  </r>
  <r>
    <s v="LN0178"/>
    <d v="2023-12-24T00:00:00"/>
    <n v="34"/>
    <s v="Business"/>
    <n v="1887499"/>
    <n v="337"/>
    <n v="1972897"/>
    <n v="13"/>
    <n v="24"/>
    <s v="Personal"/>
    <n v="0.5"/>
    <s v="West"/>
    <x v="1"/>
    <n v="1"/>
    <s v="Poor"/>
    <s v="High"/>
  </r>
  <r>
    <s v="LN0179"/>
    <d v="2025-07-02T00:00:00"/>
    <n v="34"/>
    <s v="Business"/>
    <n v="578256"/>
    <n v="708"/>
    <n v="1419304"/>
    <n v="18"/>
    <n v="60"/>
    <s v="Education"/>
    <n v="0.34"/>
    <s v="East"/>
    <x v="0"/>
    <n v="0"/>
    <s v="Good"/>
    <s v="Medium"/>
  </r>
  <r>
    <s v="LN0180"/>
    <d v="2024-04-08T00:00:00"/>
    <n v="29"/>
    <s v="Salaried"/>
    <n v="727935"/>
    <n v="814"/>
    <n v="280361"/>
    <n v="13"/>
    <n v="36"/>
    <s v="Education"/>
    <n v="0.34"/>
    <s v="North"/>
    <x v="3"/>
    <n v="0"/>
    <s v="Excellent"/>
    <s v="Medium"/>
  </r>
  <r>
    <s v="LN0181"/>
    <d v="2024-07-11T00:00:00"/>
    <n v="45"/>
    <s v="Salaried"/>
    <n v="2179562"/>
    <n v="597"/>
    <n v="1616798"/>
    <n v="12"/>
    <n v="12"/>
    <s v="Medical"/>
    <n v="0.45"/>
    <s v="North"/>
    <x v="1"/>
    <n v="0"/>
    <s v="Fair"/>
    <s v="High"/>
  </r>
  <r>
    <s v="LN0182"/>
    <d v="2024-01-07T00:00:00"/>
    <n v="43"/>
    <s v="Business"/>
    <n v="1527021"/>
    <n v="388"/>
    <n v="1697699"/>
    <n v="22"/>
    <n v="36"/>
    <s v="Medical"/>
    <n v="0.22"/>
    <s v="East"/>
    <x v="2"/>
    <n v="1"/>
    <s v="Poor"/>
    <s v="Medium"/>
  </r>
  <r>
    <s v="LN0183"/>
    <d v="2024-02-14T00:00:00"/>
    <n v="61"/>
    <s v="Self-Employed"/>
    <n v="279508"/>
    <n v="802"/>
    <n v="1245710"/>
    <n v="18"/>
    <n v="24"/>
    <s v="Business"/>
    <n v="0.44"/>
    <s v="South"/>
    <x v="3"/>
    <n v="0"/>
    <s v="Excellent"/>
    <s v="High"/>
  </r>
  <r>
    <s v="LN0184"/>
    <d v="2024-12-31T00:00:00"/>
    <n v="53"/>
    <s v="Self-Employed"/>
    <n v="2279687"/>
    <n v="391"/>
    <n v="552408"/>
    <n v="8"/>
    <n v="12"/>
    <s v="Personal"/>
    <n v="0.33"/>
    <s v="East"/>
    <x v="1"/>
    <n v="0"/>
    <s v="Poor"/>
    <s v="Medium"/>
  </r>
  <r>
    <s v="LN0185"/>
    <d v="2025-02-09T00:00:00"/>
    <n v="34"/>
    <s v="Business"/>
    <n v="1891640"/>
    <n v="773"/>
    <n v="521971"/>
    <n v="23"/>
    <n v="24"/>
    <s v="Personal"/>
    <n v="0.59"/>
    <s v="North"/>
    <x v="0"/>
    <n v="0"/>
    <s v="Excellent"/>
    <s v="High"/>
  </r>
  <r>
    <s v="LN0186"/>
    <d v="2024-11-22T00:00:00"/>
    <n v="38"/>
    <s v="Self-Employed"/>
    <n v="1378039"/>
    <n v="668"/>
    <n v="1976938"/>
    <n v="23"/>
    <n v="60"/>
    <s v="Vehicle"/>
    <n v="0.29"/>
    <s v="South"/>
    <x v="2"/>
    <n v="0"/>
    <s v="Fair"/>
    <s v="Medium"/>
  </r>
  <r>
    <s v="LN0187"/>
    <d v="2025-03-18T00:00:00"/>
    <n v="64"/>
    <s v="Salaried"/>
    <n v="2242306"/>
    <n v="531"/>
    <n v="1653463"/>
    <n v="8"/>
    <n v="60"/>
    <s v="Medical"/>
    <n v="0.18"/>
    <s v="North"/>
    <x v="1"/>
    <n v="1"/>
    <s v="Poor"/>
    <s v="Low"/>
  </r>
  <r>
    <s v="LN0188"/>
    <d v="2025-12-27T00:00:00"/>
    <n v="53"/>
    <s v="Business"/>
    <n v="800018"/>
    <n v="715"/>
    <n v="1056368"/>
    <n v="12"/>
    <n v="36"/>
    <s v="Business"/>
    <n v="0.45"/>
    <s v="South"/>
    <x v="1"/>
    <n v="0"/>
    <s v="Good"/>
    <s v="High"/>
  </r>
  <r>
    <s v="LN0189"/>
    <d v="2025-10-04T00:00:00"/>
    <n v="38"/>
    <s v="Self-Employed"/>
    <n v="2363333"/>
    <n v="391"/>
    <n v="405466"/>
    <n v="16"/>
    <n v="60"/>
    <s v="Education"/>
    <n v="0.42"/>
    <s v="East"/>
    <x v="0"/>
    <n v="0"/>
    <s v="Poor"/>
    <s v="High"/>
  </r>
  <r>
    <s v="LN0190"/>
    <d v="2023-12-14T00:00:00"/>
    <n v="43"/>
    <s v="Salaried"/>
    <n v="1291412"/>
    <n v="514"/>
    <n v="1901546"/>
    <n v="6"/>
    <n v="12"/>
    <s v="Vehicle"/>
    <n v="0.14"/>
    <s v="North"/>
    <x v="3"/>
    <n v="1"/>
    <s v="Poor"/>
    <s v="Low"/>
  </r>
  <r>
    <s v="LN0191"/>
    <d v="2024-09-18T00:00:00"/>
    <n v="26"/>
    <s v="Self-Employed"/>
    <n v="1388554"/>
    <n v="787"/>
    <n v="796512"/>
    <n v="14"/>
    <n v="60"/>
    <s v="Vehicle"/>
    <n v="0.14"/>
    <s v="West"/>
    <x v="3"/>
    <n v="1"/>
    <s v="Excellent"/>
    <s v="Low"/>
  </r>
  <r>
    <s v="LN0192"/>
    <d v="2023-10-03T00:00:00"/>
    <n v="38"/>
    <s v="Salaried"/>
    <n v="1020449"/>
    <n v="721"/>
    <n v="1583614"/>
    <n v="13"/>
    <n v="36"/>
    <s v="Home"/>
    <n v="0.25"/>
    <s v="East"/>
    <x v="1"/>
    <n v="0"/>
    <s v="Good"/>
    <s v="Medium"/>
  </r>
  <r>
    <s v="LN0193"/>
    <d v="2023-12-07T00:00:00"/>
    <n v="33"/>
    <s v="Self-Employed"/>
    <n v="825281"/>
    <n v="546"/>
    <n v="1126705"/>
    <n v="14"/>
    <n v="12"/>
    <s v="Home"/>
    <n v="0.16"/>
    <s v="South"/>
    <x v="3"/>
    <n v="0"/>
    <s v="Poor"/>
    <s v="Low"/>
  </r>
  <r>
    <s v="LN0194"/>
    <d v="2023-04-19T00:00:00"/>
    <n v="62"/>
    <s v="Self-Employed"/>
    <n v="1242126"/>
    <n v="799"/>
    <n v="917122"/>
    <n v="20"/>
    <n v="60"/>
    <s v="Home"/>
    <n v="0.35"/>
    <s v="West"/>
    <x v="0"/>
    <n v="0"/>
    <s v="Excellent"/>
    <s v="Medium"/>
  </r>
  <r>
    <s v="LN0195"/>
    <d v="2024-06-02T00:00:00"/>
    <n v="26"/>
    <s v="Self-Employed"/>
    <n v="878043"/>
    <n v="424"/>
    <n v="945799"/>
    <n v="7"/>
    <n v="60"/>
    <s v="Business"/>
    <n v="0.35"/>
    <s v="North"/>
    <x v="0"/>
    <n v="1"/>
    <s v="Poor"/>
    <s v="Medium"/>
  </r>
  <r>
    <s v="LN0196"/>
    <d v="2024-10-03T00:00:00"/>
    <n v="60"/>
    <s v="Business"/>
    <n v="2351976"/>
    <n v="333"/>
    <n v="1649658"/>
    <n v="19"/>
    <n v="60"/>
    <s v="Personal"/>
    <n v="0.17"/>
    <s v="Central"/>
    <x v="1"/>
    <n v="1"/>
    <s v="Poor"/>
    <s v="Low"/>
  </r>
  <r>
    <s v="LN0197"/>
    <d v="2024-07-11T00:00:00"/>
    <n v="45"/>
    <s v="Salaried"/>
    <n v="1931882"/>
    <n v="835"/>
    <n v="572081"/>
    <n v="21"/>
    <n v="12"/>
    <s v="Vehicle"/>
    <n v="0.4"/>
    <s v="West"/>
    <x v="3"/>
    <n v="0"/>
    <s v="Excellent"/>
    <s v="High"/>
  </r>
  <r>
    <s v="LN0198"/>
    <d v="2024-10-24T00:00:00"/>
    <n v="32"/>
    <s v="Salaried"/>
    <n v="1222303"/>
    <n v="457"/>
    <n v="1309174"/>
    <n v="9"/>
    <n v="24"/>
    <s v="Home"/>
    <n v="0.54"/>
    <s v="North"/>
    <x v="3"/>
    <n v="0"/>
    <s v="Poor"/>
    <s v="High"/>
  </r>
  <r>
    <s v="LN0199"/>
    <d v="2025-09-26T00:00:00"/>
    <n v="64"/>
    <s v="Self-Employed"/>
    <n v="1660196"/>
    <n v="473"/>
    <n v="1255156"/>
    <n v="10"/>
    <n v="36"/>
    <s v="Personal"/>
    <n v="0.45"/>
    <s v="North"/>
    <x v="1"/>
    <n v="0"/>
    <s v="Poor"/>
    <s v="High"/>
  </r>
  <r>
    <s v="LN0200"/>
    <d v="2024-02-04T00:00:00"/>
    <n v="59"/>
    <s v="Self-Employed"/>
    <n v="264426"/>
    <n v="391"/>
    <n v="1969072"/>
    <n v="19"/>
    <n v="24"/>
    <s v="Business"/>
    <n v="0.18"/>
    <s v="Central"/>
    <x v="1"/>
    <n v="1"/>
    <s v="Poor"/>
    <s v="Low"/>
  </r>
  <r>
    <s v="LN0201"/>
    <d v="2023-03-31T00:00:00"/>
    <n v="57"/>
    <s v="Salaried"/>
    <n v="2078005"/>
    <n v="664"/>
    <n v="1047465"/>
    <n v="6"/>
    <n v="36"/>
    <s v="Medical"/>
    <n v="0.17"/>
    <s v="East"/>
    <x v="2"/>
    <n v="0"/>
    <s v="Fair"/>
    <s v="Low"/>
  </r>
  <r>
    <s v="LN0202"/>
    <d v="2023-09-19T00:00:00"/>
    <n v="51"/>
    <s v="Business"/>
    <n v="858568"/>
    <n v="414"/>
    <n v="370358"/>
    <n v="22"/>
    <n v="12"/>
    <s v="Vehicle"/>
    <n v="0.27"/>
    <s v="North"/>
    <x v="3"/>
    <n v="0"/>
    <s v="Poor"/>
    <s v="Medium"/>
  </r>
  <r>
    <s v="LN0203"/>
    <d v="2023-04-21T00:00:00"/>
    <n v="51"/>
    <s v="Self-Employed"/>
    <n v="1139280"/>
    <n v="577"/>
    <n v="1570799"/>
    <n v="13"/>
    <n v="24"/>
    <s v="Vehicle"/>
    <n v="0.31"/>
    <s v="South"/>
    <x v="0"/>
    <n v="0"/>
    <s v="Poor"/>
    <s v="Medium"/>
  </r>
  <r>
    <s v="LN0204"/>
    <d v="2025-09-28T00:00:00"/>
    <n v="62"/>
    <s v="Self-Employed"/>
    <n v="2302062"/>
    <n v="568"/>
    <n v="1292328"/>
    <n v="19"/>
    <n v="36"/>
    <s v="Vehicle"/>
    <n v="0.35"/>
    <s v="East"/>
    <x v="3"/>
    <n v="0"/>
    <s v="Poor"/>
    <s v="Medium"/>
  </r>
  <r>
    <s v="LN0205"/>
    <d v="2024-08-09T00:00:00"/>
    <n v="46"/>
    <s v="Business"/>
    <n v="1609450"/>
    <n v="622"/>
    <n v="516485"/>
    <n v="13"/>
    <n v="24"/>
    <s v="Business"/>
    <n v="0.14"/>
    <s v="South"/>
    <x v="2"/>
    <n v="0"/>
    <s v="Fair"/>
    <s v="Low"/>
  </r>
  <r>
    <s v="LN0206"/>
    <d v="2023-08-12T00:00:00"/>
    <n v="45"/>
    <s v="Self-Employed"/>
    <n v="2372156"/>
    <n v="789"/>
    <n v="926285"/>
    <n v="8"/>
    <n v="12"/>
    <s v="Personal"/>
    <n v="0.14"/>
    <s v="East"/>
    <x v="0"/>
    <n v="0"/>
    <s v="Excellent"/>
    <s v="Low"/>
  </r>
  <r>
    <s v="LN0207"/>
    <d v="2023-09-21T00:00:00"/>
    <n v="45"/>
    <s v="Self-Employed"/>
    <n v="1756645"/>
    <n v="461"/>
    <n v="1320808"/>
    <n v="18"/>
    <n v="24"/>
    <s v="Personal"/>
    <n v="0.28"/>
    <s v="South"/>
    <x v="1"/>
    <n v="0"/>
    <s v="Poor"/>
    <s v="Medium"/>
  </r>
  <r>
    <s v="LN0208"/>
    <d v="2023-03-19T00:00:00"/>
    <n v="34"/>
    <s v="Business"/>
    <n v="389214"/>
    <n v="701"/>
    <n v="1584216"/>
    <n v="10"/>
    <n v="24"/>
    <s v="Business"/>
    <n v="0.47"/>
    <s v="South"/>
    <x v="0"/>
    <n v="0"/>
    <s v="Good"/>
    <s v="High"/>
  </r>
  <r>
    <s v="LN0209"/>
    <d v="2025-03-10T00:00:00"/>
    <n v="23"/>
    <s v="Salaried"/>
    <n v="1650370"/>
    <n v="479"/>
    <n v="647909"/>
    <n v="18"/>
    <n v="36"/>
    <s v="Home"/>
    <n v="0.1"/>
    <s v="South"/>
    <x v="0"/>
    <n v="1"/>
    <s v="Poor"/>
    <s v="Low"/>
  </r>
  <r>
    <s v="LN0210"/>
    <d v="2025-06-04T00:00:00"/>
    <n v="57"/>
    <s v="Business"/>
    <n v="851500"/>
    <n v="357"/>
    <n v="731467"/>
    <n v="17"/>
    <n v="60"/>
    <s v="Vehicle"/>
    <n v="0.1"/>
    <s v="Central"/>
    <x v="3"/>
    <n v="0"/>
    <s v="Poor"/>
    <s v="Low"/>
  </r>
  <r>
    <s v="LN0211"/>
    <d v="2023-02-12T00:00:00"/>
    <n v="45"/>
    <s v="Business"/>
    <n v="2011196"/>
    <n v="673"/>
    <n v="52926"/>
    <n v="22"/>
    <n v="24"/>
    <s v="Vehicle"/>
    <n v="0.44"/>
    <s v="West"/>
    <x v="0"/>
    <n v="1"/>
    <s v="Good"/>
    <s v="High"/>
  </r>
  <r>
    <s v="LN0212"/>
    <d v="2023-11-21T00:00:00"/>
    <n v="40"/>
    <s v="Salaried"/>
    <n v="1902636"/>
    <n v="660"/>
    <n v="296705"/>
    <n v="9"/>
    <n v="60"/>
    <s v="Vehicle"/>
    <n v="0.22"/>
    <s v="West"/>
    <x v="1"/>
    <n v="0"/>
    <s v="Fair"/>
    <s v="Medium"/>
  </r>
  <r>
    <s v="LN0213"/>
    <d v="2023-04-03T00:00:00"/>
    <n v="60"/>
    <s v="Self-Employed"/>
    <n v="1744197"/>
    <n v="333"/>
    <n v="1916698"/>
    <n v="10"/>
    <n v="12"/>
    <s v="Business"/>
    <n v="0.27"/>
    <s v="North"/>
    <x v="2"/>
    <n v="1"/>
    <s v="Poor"/>
    <s v="Medium"/>
  </r>
  <r>
    <s v="LN0214"/>
    <d v="2024-07-30T00:00:00"/>
    <n v="65"/>
    <s v="Business"/>
    <n v="1182731"/>
    <n v="791"/>
    <n v="973660"/>
    <n v="7"/>
    <n v="24"/>
    <s v="Education"/>
    <n v="0.48"/>
    <s v="East"/>
    <x v="2"/>
    <n v="0"/>
    <s v="Excellent"/>
    <s v="High"/>
  </r>
  <r>
    <s v="LN0215"/>
    <d v="2023-04-18T00:00:00"/>
    <n v="40"/>
    <s v="Salaried"/>
    <n v="457811"/>
    <n v="828"/>
    <n v="357134"/>
    <n v="22"/>
    <n v="12"/>
    <s v="Personal"/>
    <n v="0.15"/>
    <s v="South"/>
    <x v="1"/>
    <n v="0"/>
    <s v="Excellent"/>
    <s v="Low"/>
  </r>
  <r>
    <s v="LN0216"/>
    <d v="2024-08-10T00:00:00"/>
    <n v="65"/>
    <s v="Self-Employed"/>
    <n v="1299860"/>
    <n v="560"/>
    <n v="1326234"/>
    <n v="12"/>
    <n v="60"/>
    <s v="Vehicle"/>
    <n v="0.39"/>
    <s v="North"/>
    <x v="2"/>
    <n v="0"/>
    <s v="Poor"/>
    <s v="Medium"/>
  </r>
  <r>
    <s v="LN0217"/>
    <d v="2024-11-05T00:00:00"/>
    <n v="42"/>
    <s v="Salaried"/>
    <n v="339187"/>
    <n v="489"/>
    <n v="1931074"/>
    <n v="16"/>
    <n v="12"/>
    <s v="Medical"/>
    <n v="0.44"/>
    <s v="Central"/>
    <x v="1"/>
    <n v="0"/>
    <s v="Poor"/>
    <s v="High"/>
  </r>
  <r>
    <s v="LN0218"/>
    <d v="2025-11-04T00:00:00"/>
    <n v="21"/>
    <s v="Business"/>
    <n v="1559290"/>
    <n v="803"/>
    <n v="720601"/>
    <n v="11"/>
    <n v="60"/>
    <s v="Vehicle"/>
    <n v="0.26"/>
    <s v="Central"/>
    <x v="1"/>
    <n v="0"/>
    <s v="Excellent"/>
    <s v="Medium"/>
  </r>
  <r>
    <s v="LN0219"/>
    <d v="2024-11-24T00:00:00"/>
    <n v="38"/>
    <s v="Business"/>
    <n v="2014226"/>
    <n v="827"/>
    <n v="173429"/>
    <n v="17"/>
    <n v="12"/>
    <s v="Medical"/>
    <n v="0.5"/>
    <s v="Central"/>
    <x v="0"/>
    <n v="0"/>
    <s v="Excellent"/>
    <s v="High"/>
  </r>
  <r>
    <s v="LN0220"/>
    <d v="2024-09-10T00:00:00"/>
    <n v="45"/>
    <s v="Business"/>
    <n v="884221"/>
    <n v="827"/>
    <n v="648798"/>
    <n v="10"/>
    <n v="24"/>
    <s v="Business"/>
    <n v="0.35"/>
    <s v="North"/>
    <x v="3"/>
    <n v="0"/>
    <s v="Excellent"/>
    <s v="Medium"/>
  </r>
  <r>
    <s v="LN0221"/>
    <d v="2024-06-08T00:00:00"/>
    <n v="51"/>
    <s v="Business"/>
    <n v="1370587"/>
    <n v="312"/>
    <n v="396980"/>
    <n v="6"/>
    <n v="12"/>
    <s v="Business"/>
    <n v="0.4"/>
    <s v="Central"/>
    <x v="1"/>
    <n v="0"/>
    <s v="Poor"/>
    <s v="High"/>
  </r>
  <r>
    <s v="LN0222"/>
    <d v="2024-09-02T00:00:00"/>
    <n v="22"/>
    <s v="Self-Employed"/>
    <n v="502682"/>
    <n v="840"/>
    <n v="1239696"/>
    <n v="12"/>
    <n v="36"/>
    <s v="Vehicle"/>
    <n v="0.53"/>
    <s v="East"/>
    <x v="1"/>
    <n v="1"/>
    <s v="Excellent"/>
    <s v="High"/>
  </r>
  <r>
    <s v="LN0223"/>
    <d v="2023-08-16T00:00:00"/>
    <n v="38"/>
    <s v="Self-Employed"/>
    <n v="2144346"/>
    <n v="385"/>
    <n v="1068986"/>
    <n v="20"/>
    <n v="24"/>
    <s v="Education"/>
    <n v="0.34"/>
    <s v="West"/>
    <x v="0"/>
    <n v="0"/>
    <s v="Poor"/>
    <s v="Medium"/>
  </r>
  <r>
    <s v="LN0224"/>
    <d v="2025-02-06T00:00:00"/>
    <n v="43"/>
    <s v="Business"/>
    <n v="2392902"/>
    <n v="332"/>
    <n v="305425"/>
    <n v="18"/>
    <n v="24"/>
    <s v="Vehicle"/>
    <n v="0.32"/>
    <s v="North"/>
    <x v="2"/>
    <n v="0"/>
    <s v="Poor"/>
    <s v="Medium"/>
  </r>
  <r>
    <s v="LN0225"/>
    <d v="2023-10-26T00:00:00"/>
    <n v="24"/>
    <s v="Self-Employed"/>
    <n v="293161"/>
    <n v="643"/>
    <n v="293367"/>
    <n v="6"/>
    <n v="36"/>
    <s v="Home"/>
    <n v="0.42"/>
    <s v="South"/>
    <x v="2"/>
    <n v="1"/>
    <s v="Fair"/>
    <s v="High"/>
  </r>
  <r>
    <s v="LN0226"/>
    <d v="2024-10-23T00:00:00"/>
    <n v="53"/>
    <s v="Salaried"/>
    <n v="1410193"/>
    <n v="782"/>
    <n v="582304"/>
    <n v="17"/>
    <n v="36"/>
    <s v="Education"/>
    <n v="0.16"/>
    <s v="South"/>
    <x v="2"/>
    <n v="0"/>
    <s v="Excellent"/>
    <s v="Low"/>
  </r>
  <r>
    <s v="LN0227"/>
    <d v="2025-10-21T00:00:00"/>
    <n v="48"/>
    <s v="Business"/>
    <n v="485694"/>
    <n v="405"/>
    <n v="1606053"/>
    <n v="22"/>
    <n v="24"/>
    <s v="Vehicle"/>
    <n v="0.37"/>
    <s v="East"/>
    <x v="0"/>
    <n v="1"/>
    <s v="Poor"/>
    <s v="Medium"/>
  </r>
  <r>
    <s v="LN0228"/>
    <d v="2024-12-11T00:00:00"/>
    <n v="53"/>
    <s v="Salaried"/>
    <n v="2360636"/>
    <n v="428"/>
    <n v="1301400"/>
    <n v="24"/>
    <n v="36"/>
    <s v="Medical"/>
    <n v="0.52"/>
    <s v="West"/>
    <x v="2"/>
    <n v="1"/>
    <s v="Poor"/>
    <s v="High"/>
  </r>
  <r>
    <s v="LN0229"/>
    <d v="2023-09-05T00:00:00"/>
    <n v="61"/>
    <s v="Salaried"/>
    <n v="687920"/>
    <n v="479"/>
    <n v="1904582"/>
    <n v="18"/>
    <n v="60"/>
    <s v="Education"/>
    <n v="0.49"/>
    <s v="East"/>
    <x v="0"/>
    <n v="0"/>
    <s v="Poor"/>
    <s v="High"/>
  </r>
  <r>
    <s v="LN0230"/>
    <d v="2024-04-27T00:00:00"/>
    <n v="31"/>
    <s v="Self-Employed"/>
    <n v="2235062"/>
    <n v="310"/>
    <n v="1989383"/>
    <n v="8"/>
    <n v="24"/>
    <s v="Vehicle"/>
    <n v="0.19"/>
    <s v="West"/>
    <x v="3"/>
    <n v="1"/>
    <s v="Poor"/>
    <s v="Low"/>
  </r>
  <r>
    <s v="LN0231"/>
    <d v="2023-12-01T00:00:00"/>
    <n v="24"/>
    <s v="Business"/>
    <n v="1042393"/>
    <n v="366"/>
    <n v="736336"/>
    <n v="15"/>
    <n v="60"/>
    <s v="Medical"/>
    <n v="0.11"/>
    <s v="West"/>
    <x v="2"/>
    <n v="0"/>
    <s v="Poor"/>
    <s v="Low"/>
  </r>
  <r>
    <s v="LN0232"/>
    <d v="2025-02-07T00:00:00"/>
    <n v="29"/>
    <s v="Salaried"/>
    <n v="471142"/>
    <n v="311"/>
    <n v="1579225"/>
    <n v="20"/>
    <n v="60"/>
    <s v="Personal"/>
    <n v="0.2"/>
    <s v="North"/>
    <x v="2"/>
    <n v="0"/>
    <s v="Poor"/>
    <s v="Medium"/>
  </r>
  <r>
    <s v="LN0233"/>
    <d v="2023-01-17T00:00:00"/>
    <n v="34"/>
    <s v="Self-Employed"/>
    <n v="650331"/>
    <n v="812"/>
    <n v="1273985"/>
    <n v="22"/>
    <n v="24"/>
    <s v="Medical"/>
    <n v="0.13"/>
    <s v="South"/>
    <x v="1"/>
    <n v="0"/>
    <s v="Excellent"/>
    <s v="Low"/>
  </r>
  <r>
    <s v="LN0234"/>
    <d v="2024-04-19T00:00:00"/>
    <n v="28"/>
    <s v="Salaried"/>
    <n v="1538728"/>
    <n v="731"/>
    <n v="1538844"/>
    <n v="8"/>
    <n v="24"/>
    <s v="Home"/>
    <n v="0.18"/>
    <s v="South"/>
    <x v="3"/>
    <n v="0"/>
    <s v="Good"/>
    <s v="Low"/>
  </r>
  <r>
    <s v="LN0235"/>
    <d v="2024-12-07T00:00:00"/>
    <n v="23"/>
    <s v="Self-Employed"/>
    <n v="2378535"/>
    <n v="742"/>
    <n v="817972"/>
    <n v="17"/>
    <n v="36"/>
    <s v="Medical"/>
    <n v="0.25"/>
    <s v="East"/>
    <x v="0"/>
    <n v="1"/>
    <s v="Excellent"/>
    <s v="Medium"/>
  </r>
  <r>
    <s v="LN0236"/>
    <d v="2023-11-02T00:00:00"/>
    <n v="25"/>
    <s v="Salaried"/>
    <n v="542113"/>
    <n v="775"/>
    <n v="541458"/>
    <n v="21"/>
    <n v="24"/>
    <s v="Education"/>
    <n v="0.33"/>
    <s v="North"/>
    <x v="3"/>
    <n v="0"/>
    <s v="Excellent"/>
    <s v="Medium"/>
  </r>
  <r>
    <s v="LN0237"/>
    <d v="2023-10-04T00:00:00"/>
    <n v="40"/>
    <s v="Self-Employed"/>
    <n v="2208627"/>
    <n v="395"/>
    <n v="1027797"/>
    <n v="10"/>
    <n v="12"/>
    <s v="Personal"/>
    <n v="0.13"/>
    <s v="East"/>
    <x v="0"/>
    <n v="0"/>
    <s v="Poor"/>
    <s v="Low"/>
  </r>
  <r>
    <s v="LN0238"/>
    <d v="2024-12-02T00:00:00"/>
    <n v="24"/>
    <s v="Self-Employed"/>
    <n v="1589093"/>
    <n v="514"/>
    <n v="711454"/>
    <n v="17"/>
    <n v="36"/>
    <s v="Business"/>
    <n v="0.52"/>
    <s v="East"/>
    <x v="1"/>
    <n v="1"/>
    <s v="Poor"/>
    <s v="High"/>
  </r>
  <r>
    <s v="LN0239"/>
    <d v="2025-01-24T00:00:00"/>
    <n v="58"/>
    <s v="Self-Employed"/>
    <n v="367198"/>
    <n v="367"/>
    <n v="1315444"/>
    <n v="13"/>
    <n v="24"/>
    <s v="Home"/>
    <n v="0.19"/>
    <s v="North"/>
    <x v="1"/>
    <n v="0"/>
    <s v="Poor"/>
    <s v="Low"/>
  </r>
  <r>
    <s v="LN0240"/>
    <d v="2024-09-11T00:00:00"/>
    <n v="53"/>
    <s v="Self-Employed"/>
    <n v="1340904"/>
    <n v="672"/>
    <n v="1232094"/>
    <n v="15"/>
    <n v="12"/>
    <s v="Vehicle"/>
    <n v="0.25"/>
    <s v="North"/>
    <x v="3"/>
    <n v="0"/>
    <s v="Good"/>
    <s v="Medium"/>
  </r>
  <r>
    <s v="LN0241"/>
    <d v="2023-11-30T00:00:00"/>
    <n v="42"/>
    <s v="Self-Employed"/>
    <n v="2087027"/>
    <n v="678"/>
    <n v="1177870"/>
    <n v="7"/>
    <n v="60"/>
    <s v="Home"/>
    <n v="0.14"/>
    <s v="West"/>
    <x v="3"/>
    <n v="0"/>
    <s v="Good"/>
    <s v="Low"/>
  </r>
  <r>
    <s v="LN0242"/>
    <d v="2024-11-25T00:00:00"/>
    <n v="25"/>
    <s v="Salaried"/>
    <n v="1673493"/>
    <n v="767"/>
    <n v="574826"/>
    <n v="18"/>
    <n v="12"/>
    <s v="Medical"/>
    <n v="0.38"/>
    <s v="West"/>
    <x v="3"/>
    <n v="0"/>
    <s v="Excellent"/>
    <s v="Medium"/>
  </r>
  <r>
    <s v="LN0243"/>
    <d v="2023-06-01T00:00:00"/>
    <n v="52"/>
    <s v="Business"/>
    <n v="321920"/>
    <n v="849"/>
    <n v="1832590"/>
    <n v="10"/>
    <n v="36"/>
    <s v="Education"/>
    <n v="0.4"/>
    <s v="South"/>
    <x v="1"/>
    <n v="0"/>
    <s v="Excellent"/>
    <s v="High"/>
  </r>
  <r>
    <s v="LN0244"/>
    <d v="2025-09-09T00:00:00"/>
    <n v="36"/>
    <s v="Self-Employed"/>
    <n v="1698229"/>
    <n v="633"/>
    <n v="1315288"/>
    <n v="14"/>
    <n v="60"/>
    <s v="Education"/>
    <n v="0.11"/>
    <s v="South"/>
    <x v="3"/>
    <n v="0"/>
    <s v="Fair"/>
    <s v="Low"/>
  </r>
  <r>
    <s v="LN0245"/>
    <d v="2023-05-10T00:00:00"/>
    <n v="56"/>
    <s v="Salaried"/>
    <n v="513186"/>
    <n v="481"/>
    <n v="638915"/>
    <n v="21"/>
    <n v="24"/>
    <s v="Home"/>
    <n v="0.59"/>
    <s v="West"/>
    <x v="0"/>
    <n v="1"/>
    <s v="Poor"/>
    <s v="High"/>
  </r>
  <r>
    <s v="LN0246"/>
    <d v="2025-03-17T00:00:00"/>
    <n v="64"/>
    <s v="Self-Employed"/>
    <n v="2287846"/>
    <n v="576"/>
    <n v="1862095"/>
    <n v="17"/>
    <n v="60"/>
    <s v="Home"/>
    <n v="0.53"/>
    <s v="South"/>
    <x v="3"/>
    <n v="1"/>
    <s v="Poor"/>
    <s v="High"/>
  </r>
  <r>
    <s v="LN0247"/>
    <d v="2023-10-21T00:00:00"/>
    <n v="49"/>
    <s v="Self-Employed"/>
    <n v="1833822"/>
    <n v="833"/>
    <n v="1081672"/>
    <n v="17"/>
    <n v="24"/>
    <s v="Vehicle"/>
    <n v="0.44"/>
    <s v="Central"/>
    <x v="0"/>
    <n v="0"/>
    <s v="Excellent"/>
    <s v="High"/>
  </r>
  <r>
    <s v="LN0248"/>
    <d v="2023-07-23T00:00:00"/>
    <n v="38"/>
    <s v="Business"/>
    <n v="795851"/>
    <n v="317"/>
    <n v="295677"/>
    <n v="12"/>
    <n v="36"/>
    <s v="Home"/>
    <n v="0.46"/>
    <s v="West"/>
    <x v="3"/>
    <n v="1"/>
    <s v="Poor"/>
    <s v="High"/>
  </r>
  <r>
    <s v="LN0249"/>
    <d v="2024-07-18T00:00:00"/>
    <n v="64"/>
    <s v="Business"/>
    <n v="1778223"/>
    <n v="762"/>
    <n v="1455373"/>
    <n v="24"/>
    <n v="36"/>
    <s v="Personal"/>
    <n v="0.25"/>
    <s v="North"/>
    <x v="1"/>
    <n v="0"/>
    <s v="Excellent"/>
    <s v="Medium"/>
  </r>
  <r>
    <s v="LN0250"/>
    <d v="2024-02-11T00:00:00"/>
    <n v="37"/>
    <s v="Self-Employed"/>
    <n v="386157"/>
    <n v="607"/>
    <n v="744297"/>
    <n v="7"/>
    <n v="12"/>
    <s v="Personal"/>
    <n v="0.44"/>
    <s v="Central"/>
    <x v="0"/>
    <n v="0"/>
    <s v="Fair"/>
    <s v="High"/>
  </r>
  <r>
    <s v="LN0251"/>
    <d v="2023-04-08T00:00:00"/>
    <n v="37"/>
    <s v="Business"/>
    <n v="1968695"/>
    <n v="441"/>
    <n v="830901"/>
    <n v="24"/>
    <n v="12"/>
    <s v="Vehicle"/>
    <n v="0.12"/>
    <s v="West"/>
    <x v="1"/>
    <n v="0"/>
    <s v="Poor"/>
    <s v="Low"/>
  </r>
  <r>
    <s v="LN0252"/>
    <d v="2024-04-06T00:00:00"/>
    <n v="57"/>
    <s v="Salaried"/>
    <n v="722787"/>
    <n v="482"/>
    <n v="1796199"/>
    <n v="24"/>
    <n v="36"/>
    <s v="Business"/>
    <n v="0.16"/>
    <s v="East"/>
    <x v="0"/>
    <n v="1"/>
    <s v="Poor"/>
    <s v="Low"/>
  </r>
  <r>
    <s v="LN0253"/>
    <d v="2023-11-01T00:00:00"/>
    <n v="30"/>
    <s v="Business"/>
    <n v="413624"/>
    <n v="646"/>
    <n v="1363622"/>
    <n v="20"/>
    <n v="24"/>
    <s v="Personal"/>
    <n v="0.46"/>
    <s v="East"/>
    <x v="3"/>
    <n v="0"/>
    <s v="Fair"/>
    <s v="High"/>
  </r>
  <r>
    <s v="LN0254"/>
    <d v="2024-07-30T00:00:00"/>
    <n v="31"/>
    <s v="Salaried"/>
    <n v="283694"/>
    <n v="597"/>
    <n v="1751041"/>
    <n v="8"/>
    <n v="60"/>
    <s v="Education"/>
    <n v="0.27"/>
    <s v="South"/>
    <x v="0"/>
    <n v="0"/>
    <s v="Fair"/>
    <s v="Medium"/>
  </r>
  <r>
    <s v="LN0255"/>
    <d v="2025-09-11T00:00:00"/>
    <n v="45"/>
    <s v="Self-Employed"/>
    <n v="928266"/>
    <n v="390"/>
    <n v="1174234"/>
    <n v="20"/>
    <n v="36"/>
    <s v="Medical"/>
    <n v="0.35"/>
    <s v="South"/>
    <x v="0"/>
    <n v="1"/>
    <s v="Poor"/>
    <s v="Medium"/>
  </r>
  <r>
    <s v="LN0256"/>
    <d v="2025-09-04T00:00:00"/>
    <n v="50"/>
    <s v="Salaried"/>
    <n v="1332815"/>
    <n v="791"/>
    <n v="1225759"/>
    <n v="15"/>
    <n v="36"/>
    <s v="Vehicle"/>
    <n v="0.42"/>
    <s v="East"/>
    <x v="0"/>
    <n v="0"/>
    <s v="Excellent"/>
    <s v="High"/>
  </r>
  <r>
    <s v="LN0257"/>
    <d v="2024-06-01T00:00:00"/>
    <n v="51"/>
    <s v="Salaried"/>
    <n v="1920211"/>
    <n v="367"/>
    <n v="221745"/>
    <n v="12"/>
    <n v="36"/>
    <s v="Home"/>
    <n v="0.39"/>
    <s v="South"/>
    <x v="0"/>
    <n v="0"/>
    <s v="Poor"/>
    <s v="Medium"/>
  </r>
  <r>
    <s v="LN0258"/>
    <d v="2024-01-31T00:00:00"/>
    <n v="26"/>
    <s v="Self-Employed"/>
    <n v="839365"/>
    <n v="606"/>
    <n v="1081048"/>
    <n v="9"/>
    <n v="36"/>
    <s v="Home"/>
    <n v="0.39"/>
    <s v="North"/>
    <x v="1"/>
    <n v="0"/>
    <s v="Fair"/>
    <s v="Medium"/>
  </r>
  <r>
    <s v="LN0259"/>
    <d v="2023-07-28T00:00:00"/>
    <n v="27"/>
    <s v="Salaried"/>
    <n v="614349"/>
    <n v="638"/>
    <n v="505586"/>
    <n v="14"/>
    <n v="60"/>
    <s v="Education"/>
    <n v="0.48"/>
    <s v="East"/>
    <x v="3"/>
    <n v="0"/>
    <s v="Fair"/>
    <s v="High"/>
  </r>
  <r>
    <s v="LN0260"/>
    <d v="2025-02-23T00:00:00"/>
    <n v="45"/>
    <s v="Salaried"/>
    <n v="2252579"/>
    <n v="641"/>
    <n v="632375"/>
    <n v="17"/>
    <n v="60"/>
    <s v="Vehicle"/>
    <n v="0.43"/>
    <s v="East"/>
    <x v="0"/>
    <n v="0"/>
    <s v="Fair"/>
    <s v="High"/>
  </r>
  <r>
    <s v="LN0261"/>
    <d v="2024-12-13T00:00:00"/>
    <n v="52"/>
    <s v="Salaried"/>
    <n v="1446085"/>
    <n v="454"/>
    <n v="1528644"/>
    <n v="7"/>
    <n v="12"/>
    <s v="Education"/>
    <n v="0.52"/>
    <s v="South"/>
    <x v="2"/>
    <n v="1"/>
    <s v="Poor"/>
    <s v="High"/>
  </r>
  <r>
    <s v="LN0262"/>
    <d v="2023-11-03T00:00:00"/>
    <n v="59"/>
    <s v="Salaried"/>
    <n v="1125268"/>
    <n v="646"/>
    <n v="312147"/>
    <n v="10"/>
    <n v="24"/>
    <s v="Medical"/>
    <n v="0.5600000000000001"/>
    <s v="East"/>
    <x v="0"/>
    <n v="0"/>
    <s v="Fair"/>
    <s v="High"/>
  </r>
  <r>
    <s v="LN0263"/>
    <d v="2023-01-16T00:00:00"/>
    <n v="55"/>
    <s v="Self-Employed"/>
    <n v="1983860"/>
    <n v="312"/>
    <n v="1978558"/>
    <n v="8"/>
    <n v="60"/>
    <s v="Education"/>
    <n v="0.43"/>
    <s v="North"/>
    <x v="3"/>
    <n v="1"/>
    <s v="Poor"/>
    <s v="High"/>
  </r>
  <r>
    <s v="LN0264"/>
    <d v="2025-12-15T00:00:00"/>
    <n v="64"/>
    <s v="Self-Employed"/>
    <n v="1752099"/>
    <n v="828"/>
    <n v="633196"/>
    <n v="9"/>
    <n v="36"/>
    <s v="Medical"/>
    <n v="0.51"/>
    <s v="North"/>
    <x v="3"/>
    <n v="0"/>
    <s v="Excellent"/>
    <s v="High"/>
  </r>
  <r>
    <s v="LN0265"/>
    <d v="2023-01-16T00:00:00"/>
    <n v="40"/>
    <s v="Salaried"/>
    <n v="1888996"/>
    <n v="806"/>
    <n v="1275166"/>
    <n v="18"/>
    <n v="36"/>
    <s v="Medical"/>
    <n v="0.6"/>
    <s v="Central"/>
    <x v="1"/>
    <n v="1"/>
    <s v="Excellent"/>
    <s v="High"/>
  </r>
  <r>
    <s v="LN0266"/>
    <d v="2024-05-23T00:00:00"/>
    <n v="57"/>
    <s v="Business"/>
    <n v="1452650"/>
    <n v="569"/>
    <n v="1037545"/>
    <n v="21"/>
    <n v="36"/>
    <s v="Vehicle"/>
    <n v="0.22"/>
    <s v="East"/>
    <x v="2"/>
    <n v="0"/>
    <s v="Poor"/>
    <s v="Medium"/>
  </r>
  <r>
    <s v="LN0267"/>
    <d v="2025-06-01T00:00:00"/>
    <n v="26"/>
    <s v="Self-Employed"/>
    <n v="588985"/>
    <n v="715"/>
    <n v="1563680"/>
    <n v="17"/>
    <n v="24"/>
    <s v="Education"/>
    <n v="0.1"/>
    <s v="West"/>
    <x v="0"/>
    <n v="0"/>
    <s v="Good"/>
    <s v="Low"/>
  </r>
  <r>
    <s v="LN0268"/>
    <d v="2024-06-26T00:00:00"/>
    <n v="21"/>
    <s v="Salaried"/>
    <n v="2085081"/>
    <n v="646"/>
    <n v="218566"/>
    <n v="10"/>
    <n v="36"/>
    <s v="Vehicle"/>
    <n v="0.6"/>
    <s v="West"/>
    <x v="2"/>
    <n v="0"/>
    <s v="Fair"/>
    <s v="High"/>
  </r>
  <r>
    <s v="LN0269"/>
    <d v="2024-01-07T00:00:00"/>
    <n v="46"/>
    <s v="Salaried"/>
    <n v="1703619"/>
    <n v="413"/>
    <n v="682632"/>
    <n v="18"/>
    <n v="12"/>
    <s v="Home"/>
    <n v="0.2"/>
    <s v="North"/>
    <x v="3"/>
    <n v="0"/>
    <s v="Poor"/>
    <s v="Medium"/>
  </r>
  <r>
    <s v="LN0270"/>
    <d v="2024-05-24T00:00:00"/>
    <n v="48"/>
    <s v="Business"/>
    <n v="265790"/>
    <n v="643"/>
    <n v="1089900"/>
    <n v="24"/>
    <n v="24"/>
    <s v="Vehicle"/>
    <n v="0.46"/>
    <s v="Central"/>
    <x v="1"/>
    <n v="0"/>
    <s v="Fair"/>
    <s v="High"/>
  </r>
  <r>
    <s v="LN0271"/>
    <d v="2023-08-16T00:00:00"/>
    <n v="27"/>
    <s v="Business"/>
    <n v="2361593"/>
    <n v="653"/>
    <n v="124803"/>
    <n v="13"/>
    <n v="24"/>
    <s v="Personal"/>
    <n v="0.36"/>
    <s v="East"/>
    <x v="1"/>
    <n v="0"/>
    <s v="Fair"/>
    <s v="Medium"/>
  </r>
  <r>
    <s v="LN0272"/>
    <d v="2025-09-30T00:00:00"/>
    <n v="26"/>
    <s v="Self-Employed"/>
    <n v="1425981"/>
    <n v="812"/>
    <n v="766596"/>
    <n v="17"/>
    <n v="24"/>
    <s v="Home"/>
    <n v="0.12"/>
    <s v="West"/>
    <x v="2"/>
    <n v="0"/>
    <s v="Excellent"/>
    <s v="Low"/>
  </r>
  <r>
    <s v="LN0273"/>
    <d v="2024-09-30T00:00:00"/>
    <n v="62"/>
    <s v="Self-Employed"/>
    <n v="285439"/>
    <n v="585"/>
    <n v="1916896"/>
    <n v="14"/>
    <n v="12"/>
    <s v="Vehicle"/>
    <n v="0.18"/>
    <s v="South"/>
    <x v="1"/>
    <n v="0"/>
    <s v="Fair"/>
    <s v="Low"/>
  </r>
  <r>
    <s v="LN0274"/>
    <d v="2024-04-19T00:00:00"/>
    <n v="56"/>
    <s v="Salaried"/>
    <n v="1229827"/>
    <n v="396"/>
    <n v="1224114"/>
    <n v="19"/>
    <n v="60"/>
    <s v="Personal"/>
    <n v="0.59"/>
    <s v="East"/>
    <x v="1"/>
    <n v="1"/>
    <s v="Poor"/>
    <s v="High"/>
  </r>
  <r>
    <s v="LN0275"/>
    <d v="2023-02-09T00:00:00"/>
    <n v="28"/>
    <s v="Business"/>
    <n v="1944758"/>
    <n v="447"/>
    <n v="1937368"/>
    <n v="17"/>
    <n v="24"/>
    <s v="Personal"/>
    <n v="0.31"/>
    <s v="East"/>
    <x v="3"/>
    <n v="1"/>
    <s v="Poor"/>
    <s v="Medium"/>
  </r>
  <r>
    <s v="LN0276"/>
    <d v="2024-10-07T00:00:00"/>
    <n v="25"/>
    <s v="Business"/>
    <n v="1763240"/>
    <n v="453"/>
    <n v="495446"/>
    <n v="7"/>
    <n v="60"/>
    <s v="Vehicle"/>
    <n v="0.13"/>
    <s v="Central"/>
    <x v="3"/>
    <n v="0"/>
    <s v="Poor"/>
    <s v="Low"/>
  </r>
  <r>
    <s v="LN0277"/>
    <d v="2023-12-09T00:00:00"/>
    <n v="26"/>
    <s v="Salaried"/>
    <n v="1999001"/>
    <n v="675"/>
    <n v="494340"/>
    <n v="23"/>
    <n v="36"/>
    <s v="Business"/>
    <n v="0.52"/>
    <s v="Central"/>
    <x v="0"/>
    <n v="0"/>
    <s v="Good"/>
    <s v="High"/>
  </r>
  <r>
    <s v="LN0278"/>
    <d v="2023-05-24T00:00:00"/>
    <n v="52"/>
    <s v="Salaried"/>
    <n v="297745"/>
    <n v="448"/>
    <n v="1399856"/>
    <n v="19"/>
    <n v="60"/>
    <s v="Personal"/>
    <n v="0.13"/>
    <s v="South"/>
    <x v="0"/>
    <n v="0"/>
    <s v="Poor"/>
    <s v="Low"/>
  </r>
  <r>
    <s v="LN0279"/>
    <d v="2023-04-18T00:00:00"/>
    <n v="58"/>
    <s v="Self-Employed"/>
    <n v="815868"/>
    <n v="830"/>
    <n v="1025151"/>
    <n v="15"/>
    <n v="36"/>
    <s v="Vehicle"/>
    <n v="0.15"/>
    <s v="South"/>
    <x v="3"/>
    <n v="0"/>
    <s v="Excellent"/>
    <s v="Low"/>
  </r>
  <r>
    <s v="LN0280"/>
    <d v="2025-03-04T00:00:00"/>
    <n v="44"/>
    <s v="Business"/>
    <n v="2015095"/>
    <n v="570"/>
    <n v="1979671"/>
    <n v="19"/>
    <n v="60"/>
    <s v="Home"/>
    <n v="0.32"/>
    <s v="North"/>
    <x v="2"/>
    <n v="0"/>
    <s v="Poor"/>
    <s v="Medium"/>
  </r>
  <r>
    <s v="LN0281"/>
    <d v="2023-09-14T00:00:00"/>
    <n v="24"/>
    <s v="Self-Employed"/>
    <n v="624148"/>
    <n v="413"/>
    <n v="991278"/>
    <n v="11"/>
    <n v="36"/>
    <s v="Medical"/>
    <n v="0.54"/>
    <s v="West"/>
    <x v="1"/>
    <n v="1"/>
    <s v="Poor"/>
    <s v="High"/>
  </r>
  <r>
    <s v="LN0282"/>
    <d v="2023-10-01T00:00:00"/>
    <n v="49"/>
    <s v="Salaried"/>
    <n v="1042097"/>
    <n v="699"/>
    <n v="980950"/>
    <n v="7"/>
    <n v="60"/>
    <s v="Education"/>
    <n v="0.28"/>
    <s v="North"/>
    <x v="3"/>
    <n v="0"/>
    <s v="Good"/>
    <s v="Medium"/>
  </r>
  <r>
    <s v="LN0283"/>
    <d v="2025-04-26T00:00:00"/>
    <n v="55"/>
    <s v="Self-Employed"/>
    <n v="1663498"/>
    <n v="845"/>
    <n v="1654158"/>
    <n v="9"/>
    <n v="12"/>
    <s v="Education"/>
    <n v="0.19"/>
    <s v="North"/>
    <x v="1"/>
    <n v="0"/>
    <s v="Excellent"/>
    <s v="Low"/>
  </r>
  <r>
    <s v="LN0284"/>
    <d v="2025-10-07T00:00:00"/>
    <n v="25"/>
    <s v="Business"/>
    <n v="409920"/>
    <n v="777"/>
    <n v="1296299"/>
    <n v="22"/>
    <n v="60"/>
    <s v="Home"/>
    <n v="0.57"/>
    <s v="East"/>
    <x v="1"/>
    <n v="1"/>
    <s v="Excellent"/>
    <s v="High"/>
  </r>
  <r>
    <s v="LN0285"/>
    <d v="2024-06-07T00:00:00"/>
    <n v="64"/>
    <s v="Salaried"/>
    <n v="1410027"/>
    <n v="452"/>
    <n v="63242"/>
    <n v="7"/>
    <n v="24"/>
    <s v="Medical"/>
    <n v="0.4"/>
    <s v="South"/>
    <x v="0"/>
    <n v="0"/>
    <s v="Poor"/>
    <s v="High"/>
  </r>
  <r>
    <s v="LN0286"/>
    <d v="2023-08-14T00:00:00"/>
    <n v="55"/>
    <s v="Salaried"/>
    <n v="868473"/>
    <n v="599"/>
    <n v="1998404"/>
    <n v="16"/>
    <n v="60"/>
    <s v="Education"/>
    <n v="0.42"/>
    <s v="Central"/>
    <x v="3"/>
    <n v="0"/>
    <s v="Fair"/>
    <s v="High"/>
  </r>
  <r>
    <s v="LN0287"/>
    <d v="2024-05-21T00:00:00"/>
    <n v="55"/>
    <s v="Self-Employed"/>
    <n v="1544068"/>
    <n v="360"/>
    <n v="403357"/>
    <n v="15"/>
    <n v="12"/>
    <s v="Medical"/>
    <n v="0.5600000000000001"/>
    <s v="North"/>
    <x v="0"/>
    <n v="1"/>
    <s v="Poor"/>
    <s v="High"/>
  </r>
  <r>
    <s v="LN0288"/>
    <d v="2023-07-14T00:00:00"/>
    <n v="22"/>
    <s v="Self-Employed"/>
    <n v="2275665"/>
    <n v="447"/>
    <n v="330633"/>
    <n v="12"/>
    <n v="24"/>
    <s v="Medical"/>
    <n v="0.58"/>
    <s v="Central"/>
    <x v="1"/>
    <n v="0"/>
    <s v="Poor"/>
    <s v="High"/>
  </r>
  <r>
    <s v="LN0289"/>
    <d v="2025-12-17T00:00:00"/>
    <n v="40"/>
    <s v="Business"/>
    <n v="1724108"/>
    <n v="487"/>
    <n v="1962143"/>
    <n v="7"/>
    <n v="60"/>
    <s v="Business"/>
    <n v="0.6"/>
    <s v="South"/>
    <x v="0"/>
    <n v="1"/>
    <s v="Poor"/>
    <s v="High"/>
  </r>
  <r>
    <s v="LN0290"/>
    <d v="2024-04-04T00:00:00"/>
    <n v="21"/>
    <s v="Salaried"/>
    <n v="1067539"/>
    <n v="559"/>
    <n v="190681"/>
    <n v="20"/>
    <n v="24"/>
    <s v="Home"/>
    <n v="0.39"/>
    <s v="South"/>
    <x v="3"/>
    <n v="0"/>
    <s v="Poor"/>
    <s v="Medium"/>
  </r>
  <r>
    <s v="LN0291"/>
    <d v="2024-06-29T00:00:00"/>
    <n v="64"/>
    <s v="Business"/>
    <n v="2339200"/>
    <n v="617"/>
    <n v="1001952"/>
    <n v="15"/>
    <n v="12"/>
    <s v="Home"/>
    <n v="0.6"/>
    <s v="North"/>
    <x v="1"/>
    <n v="1"/>
    <s v="Fair"/>
    <s v="High"/>
  </r>
  <r>
    <s v="LN0292"/>
    <d v="2023-11-20T00:00:00"/>
    <n v="27"/>
    <s v="Self-Employed"/>
    <n v="557702"/>
    <n v="722"/>
    <n v="267138"/>
    <n v="24"/>
    <n v="60"/>
    <s v="Vehicle"/>
    <n v="0.4"/>
    <s v="East"/>
    <x v="0"/>
    <n v="0"/>
    <s v="Good"/>
    <s v="High"/>
  </r>
  <r>
    <s v="LN0293"/>
    <d v="2024-08-01T00:00:00"/>
    <n v="26"/>
    <s v="Self-Employed"/>
    <n v="1806622"/>
    <n v="564"/>
    <n v="1198524"/>
    <n v="24"/>
    <n v="12"/>
    <s v="Business"/>
    <n v="0.25"/>
    <s v="West"/>
    <x v="2"/>
    <n v="0"/>
    <s v="Poor"/>
    <s v="Medium"/>
  </r>
  <r>
    <s v="LN0294"/>
    <d v="2024-05-27T00:00:00"/>
    <n v="47"/>
    <s v="Salaried"/>
    <n v="1000265"/>
    <n v="797"/>
    <n v="418544"/>
    <n v="12"/>
    <n v="60"/>
    <s v="Medical"/>
    <n v="0.13"/>
    <s v="West"/>
    <x v="3"/>
    <n v="0"/>
    <s v="Excellent"/>
    <s v="Low"/>
  </r>
  <r>
    <s v="LN0295"/>
    <d v="2023-12-04T00:00:00"/>
    <n v="62"/>
    <s v="Self-Employed"/>
    <n v="1145289"/>
    <n v="831"/>
    <n v="841234"/>
    <n v="20"/>
    <n v="36"/>
    <s v="Medical"/>
    <n v="0.6"/>
    <s v="North"/>
    <x v="3"/>
    <n v="0"/>
    <s v="Excellent"/>
    <s v="High"/>
  </r>
  <r>
    <s v="LN0296"/>
    <d v="2024-09-10T00:00:00"/>
    <n v="27"/>
    <s v="Business"/>
    <n v="2110426"/>
    <n v="626"/>
    <n v="147185"/>
    <n v="23"/>
    <n v="24"/>
    <s v="Education"/>
    <n v="0.36"/>
    <s v="Central"/>
    <x v="0"/>
    <n v="1"/>
    <s v="Fair"/>
    <s v="Medium"/>
  </r>
  <r>
    <s v="LN0297"/>
    <d v="2024-07-07T00:00:00"/>
    <n v="45"/>
    <s v="Self-Employed"/>
    <n v="1614520"/>
    <n v="530"/>
    <n v="1112588"/>
    <n v="23"/>
    <n v="24"/>
    <s v="Vehicle"/>
    <n v="0.5"/>
    <s v="Central"/>
    <x v="0"/>
    <n v="0"/>
    <s v="Poor"/>
    <s v="High"/>
  </r>
  <r>
    <s v="LN0298"/>
    <d v="2024-08-19T00:00:00"/>
    <n v="63"/>
    <s v="Self-Employed"/>
    <n v="373832"/>
    <n v="332"/>
    <n v="1956499"/>
    <n v="19"/>
    <n v="36"/>
    <s v="Medical"/>
    <n v="0.6"/>
    <s v="North"/>
    <x v="1"/>
    <n v="0"/>
    <s v="Poor"/>
    <s v="High"/>
  </r>
  <r>
    <s v="LN0299"/>
    <d v="2025-04-25T00:00:00"/>
    <n v="27"/>
    <s v="Self-Employed"/>
    <n v="825515"/>
    <n v="313"/>
    <n v="1948288"/>
    <n v="12"/>
    <n v="24"/>
    <s v="Medical"/>
    <n v="0.13"/>
    <s v="Central"/>
    <x v="2"/>
    <n v="1"/>
    <s v="Poor"/>
    <s v="Low"/>
  </r>
  <r>
    <s v="LN0300"/>
    <d v="2024-05-06T00:00:00"/>
    <n v="27"/>
    <s v="Salaried"/>
    <n v="2187459"/>
    <n v="312"/>
    <n v="1787953"/>
    <n v="13"/>
    <n v="12"/>
    <s v="Business"/>
    <n v="0.54"/>
    <s v="East"/>
    <x v="1"/>
    <n v="1"/>
    <s v="Poor"/>
    <s v="High"/>
  </r>
  <r>
    <s v="LN0301"/>
    <d v="2024-01-29T00:00:00"/>
    <n v="44"/>
    <s v="Salaried"/>
    <n v="695876"/>
    <n v="599"/>
    <n v="1413713"/>
    <n v="10"/>
    <n v="36"/>
    <s v="Personal"/>
    <n v="0.12"/>
    <s v="North"/>
    <x v="1"/>
    <n v="0"/>
    <s v="Fair"/>
    <s v="Low"/>
  </r>
  <r>
    <s v="LN0302"/>
    <d v="2024-11-30T00:00:00"/>
    <n v="50"/>
    <s v="Salaried"/>
    <n v="1894789"/>
    <n v="379"/>
    <n v="1072989"/>
    <n v="9"/>
    <n v="36"/>
    <s v="Home"/>
    <n v="0.22"/>
    <s v="South"/>
    <x v="3"/>
    <n v="0"/>
    <s v="Poor"/>
    <s v="Medium"/>
  </r>
  <r>
    <s v="LN0303"/>
    <d v="2023-01-05T00:00:00"/>
    <n v="23"/>
    <s v="Self-Employed"/>
    <n v="377134"/>
    <n v="830"/>
    <n v="427740"/>
    <n v="15"/>
    <n v="60"/>
    <s v="Education"/>
    <n v="0.21"/>
    <s v="Central"/>
    <x v="3"/>
    <n v="0"/>
    <s v="Excellent"/>
    <s v="Medium"/>
  </r>
  <r>
    <s v="LN0304"/>
    <d v="2025-06-12T00:00:00"/>
    <n v="41"/>
    <s v="Self-Employed"/>
    <n v="1305249"/>
    <n v="622"/>
    <n v="1752955"/>
    <n v="6"/>
    <n v="60"/>
    <s v="Personal"/>
    <n v="0.49"/>
    <s v="Central"/>
    <x v="3"/>
    <n v="1"/>
    <s v="Fair"/>
    <s v="High"/>
  </r>
  <r>
    <s v="LN0305"/>
    <d v="2024-12-30T00:00:00"/>
    <n v="31"/>
    <s v="Self-Employed"/>
    <n v="1213826"/>
    <n v="401"/>
    <n v="1240645"/>
    <n v="8"/>
    <n v="24"/>
    <s v="Medical"/>
    <n v="0.13"/>
    <s v="North"/>
    <x v="1"/>
    <n v="0"/>
    <s v="Poor"/>
    <s v="Low"/>
  </r>
  <r>
    <s v="LN0306"/>
    <d v="2024-02-03T00:00:00"/>
    <n v="58"/>
    <s v="Salaried"/>
    <n v="1008759"/>
    <n v="715"/>
    <n v="154795"/>
    <n v="12"/>
    <n v="24"/>
    <s v="Medical"/>
    <n v="0.59"/>
    <s v="East"/>
    <x v="0"/>
    <n v="0"/>
    <s v="Good"/>
    <s v="High"/>
  </r>
  <r>
    <s v="LN0307"/>
    <d v="2024-11-06T00:00:00"/>
    <n v="57"/>
    <s v="Business"/>
    <n v="320066"/>
    <n v="644"/>
    <n v="176620"/>
    <n v="13"/>
    <n v="60"/>
    <s v="Vehicle"/>
    <n v="0.34"/>
    <s v="East"/>
    <x v="2"/>
    <n v="0"/>
    <s v="Fair"/>
    <s v="Medium"/>
  </r>
  <r>
    <s v="LN0308"/>
    <d v="2025-02-20T00:00:00"/>
    <n v="36"/>
    <s v="Self-Employed"/>
    <n v="1273338"/>
    <n v="839"/>
    <n v="1342337"/>
    <n v="11"/>
    <n v="24"/>
    <s v="Vehicle"/>
    <n v="0.49"/>
    <s v="North"/>
    <x v="3"/>
    <n v="0"/>
    <s v="Excellent"/>
    <s v="High"/>
  </r>
  <r>
    <s v="LN0309"/>
    <d v="2024-06-08T00:00:00"/>
    <n v="38"/>
    <s v="Self-Employed"/>
    <n v="2357114"/>
    <n v="405"/>
    <n v="635345"/>
    <n v="13"/>
    <n v="60"/>
    <s v="Education"/>
    <n v="0.29"/>
    <s v="South"/>
    <x v="2"/>
    <n v="0"/>
    <s v="Poor"/>
    <s v="Medium"/>
  </r>
  <r>
    <s v="LN0310"/>
    <d v="2023-01-30T00:00:00"/>
    <n v="38"/>
    <s v="Self-Employed"/>
    <n v="743093"/>
    <n v="540"/>
    <n v="1996619"/>
    <n v="21"/>
    <n v="24"/>
    <s v="Business"/>
    <n v="0.32"/>
    <s v="East"/>
    <x v="0"/>
    <n v="1"/>
    <s v="Poor"/>
    <s v="Medium"/>
  </r>
  <r>
    <s v="LN0311"/>
    <d v="2025-01-31T00:00:00"/>
    <n v="57"/>
    <s v="Self-Employed"/>
    <n v="834651"/>
    <n v="629"/>
    <n v="1266928"/>
    <n v="10"/>
    <n v="12"/>
    <s v="Business"/>
    <n v="0.47"/>
    <s v="South"/>
    <x v="2"/>
    <n v="0"/>
    <s v="Fair"/>
    <s v="High"/>
  </r>
  <r>
    <s v="LN0312"/>
    <d v="2025-10-06T00:00:00"/>
    <n v="22"/>
    <s v="Self-Employed"/>
    <n v="1491025"/>
    <n v="388"/>
    <n v="1693877"/>
    <n v="21"/>
    <n v="36"/>
    <s v="Personal"/>
    <n v="0.51"/>
    <s v="East"/>
    <x v="1"/>
    <n v="1"/>
    <s v="Poor"/>
    <s v="High"/>
  </r>
  <r>
    <s v="LN0313"/>
    <d v="2025-08-10T00:00:00"/>
    <n v="40"/>
    <s v="Business"/>
    <n v="1893853"/>
    <n v="493"/>
    <n v="83367"/>
    <n v="21"/>
    <n v="36"/>
    <s v="Home"/>
    <n v="0.48"/>
    <s v="North"/>
    <x v="0"/>
    <n v="1"/>
    <s v="Poor"/>
    <s v="High"/>
  </r>
  <r>
    <s v="LN0314"/>
    <d v="2025-11-20T00:00:00"/>
    <n v="51"/>
    <s v="Self-Employed"/>
    <n v="570955"/>
    <n v="733"/>
    <n v="1722907"/>
    <n v="21"/>
    <n v="24"/>
    <s v="Medical"/>
    <n v="0.19"/>
    <s v="East"/>
    <x v="3"/>
    <n v="1"/>
    <s v="Good"/>
    <s v="Low"/>
  </r>
  <r>
    <s v="LN0315"/>
    <d v="2024-05-19T00:00:00"/>
    <n v="39"/>
    <s v="Self-Employed"/>
    <n v="1932643"/>
    <n v="803"/>
    <n v="968771"/>
    <n v="10"/>
    <n v="24"/>
    <s v="Vehicle"/>
    <n v="0.35"/>
    <s v="North"/>
    <x v="2"/>
    <n v="0"/>
    <s v="Excellent"/>
    <s v="Medium"/>
  </r>
  <r>
    <s v="LN0316"/>
    <d v="2024-09-25T00:00:00"/>
    <n v="33"/>
    <s v="Business"/>
    <n v="866558"/>
    <n v="783"/>
    <n v="1875150"/>
    <n v="11"/>
    <n v="12"/>
    <s v="Vehicle"/>
    <n v="0.52"/>
    <s v="West"/>
    <x v="0"/>
    <n v="1"/>
    <s v="Excellent"/>
    <s v="High"/>
  </r>
  <r>
    <s v="LN0317"/>
    <d v="2023-01-08T00:00:00"/>
    <n v="27"/>
    <s v="Salaried"/>
    <n v="974722"/>
    <n v="712"/>
    <n v="539901"/>
    <n v="17"/>
    <n v="60"/>
    <s v="Personal"/>
    <n v="0.34"/>
    <s v="West"/>
    <x v="0"/>
    <n v="0"/>
    <s v="Good"/>
    <s v="Medium"/>
  </r>
  <r>
    <s v="LN0318"/>
    <d v="2024-12-19T00:00:00"/>
    <n v="36"/>
    <s v="Self-Employed"/>
    <n v="617547"/>
    <n v="652"/>
    <n v="1038924"/>
    <n v="13"/>
    <n v="36"/>
    <s v="Medical"/>
    <n v="0.5600000000000001"/>
    <s v="South"/>
    <x v="0"/>
    <n v="0"/>
    <s v="Fair"/>
    <s v="High"/>
  </r>
  <r>
    <s v="LN0319"/>
    <d v="2023-01-28T00:00:00"/>
    <n v="54"/>
    <s v="Self-Employed"/>
    <n v="1495936"/>
    <n v="725"/>
    <n v="775816"/>
    <n v="16"/>
    <n v="24"/>
    <s v="Business"/>
    <n v="0.36"/>
    <s v="East"/>
    <x v="3"/>
    <n v="0"/>
    <s v="Good"/>
    <s v="Medium"/>
  </r>
  <r>
    <s v="LN0320"/>
    <d v="2024-07-12T00:00:00"/>
    <n v="26"/>
    <s v="Self-Employed"/>
    <n v="443526"/>
    <n v="841"/>
    <n v="874847"/>
    <n v="21"/>
    <n v="24"/>
    <s v="Business"/>
    <n v="0.21"/>
    <s v="East"/>
    <x v="1"/>
    <n v="1"/>
    <s v="Excellent"/>
    <s v="Medium"/>
  </r>
  <r>
    <s v="LN0321"/>
    <d v="2023-06-25T00:00:00"/>
    <n v="60"/>
    <s v="Business"/>
    <n v="1570485"/>
    <n v="487"/>
    <n v="994081"/>
    <n v="11"/>
    <n v="36"/>
    <s v="Personal"/>
    <n v="0.38"/>
    <s v="West"/>
    <x v="3"/>
    <n v="0"/>
    <s v="Poor"/>
    <s v="Medium"/>
  </r>
  <r>
    <s v="LN0322"/>
    <d v="2025-12-08T00:00:00"/>
    <n v="39"/>
    <s v="Self-Employed"/>
    <n v="1325059"/>
    <n v="345"/>
    <n v="802548"/>
    <n v="16"/>
    <n v="12"/>
    <s v="Medical"/>
    <n v="0.12"/>
    <s v="Central"/>
    <x v="0"/>
    <n v="0"/>
    <s v="Poor"/>
    <s v="Low"/>
  </r>
  <r>
    <s v="LN0323"/>
    <d v="2023-07-02T00:00:00"/>
    <n v="34"/>
    <s v="Salaried"/>
    <n v="668212"/>
    <n v="549"/>
    <n v="1437297"/>
    <n v="17"/>
    <n v="12"/>
    <s v="Home"/>
    <n v="0.3"/>
    <s v="West"/>
    <x v="1"/>
    <n v="0"/>
    <s v="Poor"/>
    <s v="Medium"/>
  </r>
  <r>
    <s v="LN0324"/>
    <d v="2024-12-03T00:00:00"/>
    <n v="33"/>
    <s v="Business"/>
    <n v="2056177"/>
    <n v="776"/>
    <n v="1877560"/>
    <n v="14"/>
    <n v="24"/>
    <s v="Education"/>
    <n v="0.51"/>
    <s v="North"/>
    <x v="3"/>
    <n v="0"/>
    <s v="Excellent"/>
    <s v="High"/>
  </r>
  <r>
    <s v="LN0325"/>
    <d v="2024-09-02T00:00:00"/>
    <n v="47"/>
    <s v="Self-Employed"/>
    <n v="2331988"/>
    <n v="415"/>
    <n v="1451006"/>
    <n v="20"/>
    <n v="12"/>
    <s v="Home"/>
    <n v="0.42"/>
    <s v="North"/>
    <x v="0"/>
    <n v="0"/>
    <s v="Poor"/>
    <s v="High"/>
  </r>
  <r>
    <s v="LN0326"/>
    <d v="2025-10-13T00:00:00"/>
    <n v="60"/>
    <s v="Business"/>
    <n v="844613"/>
    <n v="329"/>
    <n v="1042432"/>
    <n v="24"/>
    <n v="36"/>
    <s v="Personal"/>
    <n v="0.5600000000000001"/>
    <s v="South"/>
    <x v="2"/>
    <n v="1"/>
    <s v="Poor"/>
    <s v="High"/>
  </r>
  <r>
    <s v="LN0327"/>
    <d v="2023-04-11T00:00:00"/>
    <n v="62"/>
    <s v="Self-Employed"/>
    <n v="1193155"/>
    <n v="474"/>
    <n v="1226368"/>
    <n v="18"/>
    <n v="60"/>
    <s v="Education"/>
    <n v="0.47"/>
    <s v="West"/>
    <x v="1"/>
    <n v="1"/>
    <s v="Poor"/>
    <s v="High"/>
  </r>
  <r>
    <s v="LN0328"/>
    <d v="2025-09-27T00:00:00"/>
    <n v="52"/>
    <s v="Self-Employed"/>
    <n v="1132941"/>
    <n v="614"/>
    <n v="597025"/>
    <n v="21"/>
    <n v="12"/>
    <s v="Personal"/>
    <n v="0.37"/>
    <s v="North"/>
    <x v="3"/>
    <n v="0"/>
    <s v="Fair"/>
    <s v="Medium"/>
  </r>
  <r>
    <s v="LN0329"/>
    <d v="2024-04-19T00:00:00"/>
    <n v="64"/>
    <s v="Salaried"/>
    <n v="1633471"/>
    <n v="577"/>
    <n v="1956662"/>
    <n v="16"/>
    <n v="12"/>
    <s v="Medical"/>
    <n v="0.25"/>
    <s v="Central"/>
    <x v="3"/>
    <n v="1"/>
    <s v="Poor"/>
    <s v="Medium"/>
  </r>
  <r>
    <s v="LN0330"/>
    <d v="2025-04-19T00:00:00"/>
    <n v="35"/>
    <s v="Salaried"/>
    <n v="1816844"/>
    <n v="644"/>
    <n v="727218"/>
    <n v="11"/>
    <n v="60"/>
    <s v="Home"/>
    <n v="0.14"/>
    <s v="North"/>
    <x v="2"/>
    <n v="0"/>
    <s v="Fair"/>
    <s v="Low"/>
  </r>
  <r>
    <s v="LN0331"/>
    <d v="2025-05-23T00:00:00"/>
    <n v="34"/>
    <s v="Business"/>
    <n v="1764061"/>
    <n v="339"/>
    <n v="462966"/>
    <n v="8"/>
    <n v="36"/>
    <s v="Education"/>
    <n v="0.3"/>
    <s v="East"/>
    <x v="2"/>
    <n v="0"/>
    <s v="Poor"/>
    <s v="Medium"/>
  </r>
  <r>
    <s v="LN0332"/>
    <d v="2024-05-18T00:00:00"/>
    <n v="53"/>
    <s v="Self-Employed"/>
    <n v="529096"/>
    <n v="317"/>
    <n v="1338028"/>
    <n v="15"/>
    <n v="24"/>
    <s v="Education"/>
    <n v="0.12"/>
    <s v="South"/>
    <x v="0"/>
    <n v="0"/>
    <s v="Poor"/>
    <s v="Low"/>
  </r>
  <r>
    <s v="LN0333"/>
    <d v="2025-02-05T00:00:00"/>
    <n v="54"/>
    <s v="Business"/>
    <n v="1158814"/>
    <n v="362"/>
    <n v="1688989"/>
    <n v="6"/>
    <n v="24"/>
    <s v="Vehicle"/>
    <n v="0.24"/>
    <s v="Central"/>
    <x v="1"/>
    <n v="1"/>
    <s v="Poor"/>
    <s v="Medium"/>
  </r>
  <r>
    <s v="LN0334"/>
    <d v="2025-01-30T00:00:00"/>
    <n v="44"/>
    <s v="Business"/>
    <n v="1445289"/>
    <n v="559"/>
    <n v="1231705"/>
    <n v="8"/>
    <n v="24"/>
    <s v="Medical"/>
    <n v="0.48"/>
    <s v="Central"/>
    <x v="0"/>
    <n v="1"/>
    <s v="Poor"/>
    <s v="High"/>
  </r>
  <r>
    <s v="LN0335"/>
    <d v="2023-06-06T00:00:00"/>
    <n v="37"/>
    <s v="Salaried"/>
    <n v="1851463"/>
    <n v="768"/>
    <n v="210690"/>
    <n v="10"/>
    <n v="36"/>
    <s v="Business"/>
    <n v="0.45"/>
    <s v="East"/>
    <x v="1"/>
    <n v="0"/>
    <s v="Excellent"/>
    <s v="High"/>
  </r>
  <r>
    <s v="LN0336"/>
    <d v="2024-03-15T00:00:00"/>
    <n v="61"/>
    <s v="Business"/>
    <n v="850308"/>
    <n v="383"/>
    <n v="1195158"/>
    <n v="18"/>
    <n v="12"/>
    <s v="Education"/>
    <n v="0.47"/>
    <s v="West"/>
    <x v="2"/>
    <n v="1"/>
    <s v="Poor"/>
    <s v="High"/>
  </r>
  <r>
    <s v="LN0337"/>
    <d v="2024-09-26T00:00:00"/>
    <n v="46"/>
    <s v="Business"/>
    <n v="2076974"/>
    <n v="725"/>
    <n v="1929850"/>
    <n v="11"/>
    <n v="60"/>
    <s v="Home"/>
    <n v="0.3"/>
    <s v="South"/>
    <x v="0"/>
    <n v="0"/>
    <s v="Good"/>
    <s v="Medium"/>
  </r>
  <r>
    <s v="LN0338"/>
    <d v="2023-04-05T00:00:00"/>
    <n v="54"/>
    <s v="Business"/>
    <n v="1296996"/>
    <n v="835"/>
    <n v="1804935"/>
    <n v="23"/>
    <n v="24"/>
    <s v="Vehicle"/>
    <n v="0.26"/>
    <s v="North"/>
    <x v="3"/>
    <n v="0"/>
    <s v="Excellent"/>
    <s v="Medium"/>
  </r>
  <r>
    <s v="LN0339"/>
    <d v="2024-11-05T00:00:00"/>
    <n v="38"/>
    <s v="Business"/>
    <n v="2027331"/>
    <n v="502"/>
    <n v="1619172"/>
    <n v="18"/>
    <n v="60"/>
    <s v="Business"/>
    <n v="0.21"/>
    <s v="Central"/>
    <x v="1"/>
    <n v="1"/>
    <s v="Poor"/>
    <s v="Medium"/>
  </r>
  <r>
    <s v="LN0340"/>
    <d v="2023-02-24T00:00:00"/>
    <n v="54"/>
    <s v="Self-Employed"/>
    <n v="1733727"/>
    <n v="796"/>
    <n v="1300614"/>
    <n v="23"/>
    <n v="36"/>
    <s v="Personal"/>
    <n v="0.41"/>
    <s v="South"/>
    <x v="0"/>
    <n v="0"/>
    <s v="Excellent"/>
    <s v="High"/>
  </r>
  <r>
    <s v="LN0341"/>
    <d v="2024-11-27T00:00:00"/>
    <n v="54"/>
    <s v="Business"/>
    <n v="632489"/>
    <n v="313"/>
    <n v="1444681"/>
    <n v="15"/>
    <n v="60"/>
    <s v="Home"/>
    <n v="0.52"/>
    <s v="South"/>
    <x v="2"/>
    <n v="1"/>
    <s v="Poor"/>
    <s v="High"/>
  </r>
  <r>
    <s v="LN0342"/>
    <d v="2025-10-12T00:00:00"/>
    <n v="23"/>
    <s v="Business"/>
    <n v="1295179"/>
    <n v="480"/>
    <n v="1692599"/>
    <n v="21"/>
    <n v="60"/>
    <s v="Vehicle"/>
    <n v="0.4"/>
    <s v="South"/>
    <x v="3"/>
    <n v="1"/>
    <s v="Poor"/>
    <s v="High"/>
  </r>
  <r>
    <s v="LN0343"/>
    <d v="2024-08-23T00:00:00"/>
    <n v="31"/>
    <s v="Self-Employed"/>
    <n v="812600"/>
    <n v="848"/>
    <n v="302203"/>
    <n v="15"/>
    <n v="36"/>
    <s v="Medical"/>
    <n v="0.48"/>
    <s v="North"/>
    <x v="2"/>
    <n v="0"/>
    <s v="Excellent"/>
    <s v="High"/>
  </r>
  <r>
    <s v="LN0344"/>
    <d v="2025-04-14T00:00:00"/>
    <n v="61"/>
    <s v="Salaried"/>
    <n v="1502315"/>
    <n v="583"/>
    <n v="560536"/>
    <n v="24"/>
    <n v="36"/>
    <s v="Vehicle"/>
    <n v="0.41"/>
    <s v="East"/>
    <x v="2"/>
    <n v="1"/>
    <s v="Fair"/>
    <s v="High"/>
  </r>
  <r>
    <s v="LN0345"/>
    <d v="2023-02-03T00:00:00"/>
    <n v="60"/>
    <s v="Self-Employed"/>
    <n v="1606920"/>
    <n v="690"/>
    <n v="716839"/>
    <n v="13"/>
    <n v="12"/>
    <s v="Home"/>
    <n v="0.55"/>
    <s v="East"/>
    <x v="0"/>
    <n v="1"/>
    <s v="Good"/>
    <s v="High"/>
  </r>
  <r>
    <s v="LN0346"/>
    <d v="2023-04-10T00:00:00"/>
    <n v="39"/>
    <s v="Salaried"/>
    <n v="2242322"/>
    <n v="588"/>
    <n v="281288"/>
    <n v="15"/>
    <n v="60"/>
    <s v="Education"/>
    <n v="0.59"/>
    <s v="East"/>
    <x v="2"/>
    <n v="1"/>
    <s v="Fair"/>
    <s v="High"/>
  </r>
  <r>
    <s v="LN0347"/>
    <d v="2023-02-03T00:00:00"/>
    <n v="30"/>
    <s v="Self-Employed"/>
    <n v="1974248"/>
    <n v="536"/>
    <n v="1104265"/>
    <n v="10"/>
    <n v="12"/>
    <s v="Education"/>
    <n v="0.13"/>
    <s v="East"/>
    <x v="0"/>
    <n v="0"/>
    <s v="Poor"/>
    <s v="Low"/>
  </r>
  <r>
    <s v="LN0348"/>
    <d v="2025-10-30T00:00:00"/>
    <n v="51"/>
    <s v="Salaried"/>
    <n v="586249"/>
    <n v="639"/>
    <n v="1623282"/>
    <n v="19"/>
    <n v="12"/>
    <s v="Education"/>
    <n v="0.6"/>
    <s v="West"/>
    <x v="3"/>
    <n v="1"/>
    <s v="Fair"/>
    <s v="High"/>
  </r>
  <r>
    <s v="LN0349"/>
    <d v="2023-03-14T00:00:00"/>
    <n v="52"/>
    <s v="Salaried"/>
    <n v="488781"/>
    <n v="763"/>
    <n v="97889"/>
    <n v="17"/>
    <n v="24"/>
    <s v="Home"/>
    <n v="0.29"/>
    <s v="West"/>
    <x v="0"/>
    <n v="0"/>
    <s v="Excellent"/>
    <s v="Medium"/>
  </r>
  <r>
    <s v="LN0350"/>
    <d v="2025-09-08T00:00:00"/>
    <n v="34"/>
    <s v="Salaried"/>
    <n v="1812113"/>
    <n v="559"/>
    <n v="1245568"/>
    <n v="20"/>
    <n v="60"/>
    <s v="Home"/>
    <n v="0.55"/>
    <s v="Central"/>
    <x v="2"/>
    <n v="1"/>
    <s v="Poor"/>
    <s v="High"/>
  </r>
  <r>
    <s v="LN0351"/>
    <d v="2023-05-13T00:00:00"/>
    <n v="27"/>
    <s v="Business"/>
    <n v="587799"/>
    <n v="473"/>
    <n v="1730016"/>
    <n v="8"/>
    <n v="36"/>
    <s v="Business"/>
    <n v="0.15"/>
    <s v="North"/>
    <x v="3"/>
    <n v="1"/>
    <s v="Poor"/>
    <s v="Low"/>
  </r>
  <r>
    <s v="LN0352"/>
    <d v="2025-02-26T00:00:00"/>
    <n v="22"/>
    <s v="Salaried"/>
    <n v="1469215"/>
    <n v="395"/>
    <n v="1297930"/>
    <n v="6"/>
    <n v="36"/>
    <s v="Medical"/>
    <n v="0.19"/>
    <s v="South"/>
    <x v="2"/>
    <n v="0"/>
    <s v="Poor"/>
    <s v="Low"/>
  </r>
  <r>
    <s v="LN0353"/>
    <d v="2025-08-14T00:00:00"/>
    <n v="59"/>
    <s v="Salaried"/>
    <n v="392471"/>
    <n v="442"/>
    <n v="1857531"/>
    <n v="6"/>
    <n v="24"/>
    <s v="Medical"/>
    <n v="0.59"/>
    <s v="South"/>
    <x v="3"/>
    <n v="1"/>
    <s v="Poor"/>
    <s v="High"/>
  </r>
  <r>
    <s v="LN0354"/>
    <d v="2024-11-30T00:00:00"/>
    <n v="44"/>
    <s v="Business"/>
    <n v="2388543"/>
    <n v="835"/>
    <n v="128715"/>
    <n v="7"/>
    <n v="60"/>
    <s v="Vehicle"/>
    <n v="0.11"/>
    <s v="Central"/>
    <x v="0"/>
    <n v="1"/>
    <s v="Excellent"/>
    <s v="Low"/>
  </r>
  <r>
    <s v="LN0355"/>
    <d v="2024-04-12T00:00:00"/>
    <n v="61"/>
    <s v="Self-Employed"/>
    <n v="1105058"/>
    <n v="530"/>
    <n v="525382"/>
    <n v="21"/>
    <n v="24"/>
    <s v="Vehicle"/>
    <n v="0.39"/>
    <s v="East"/>
    <x v="0"/>
    <n v="0"/>
    <s v="Poor"/>
    <s v="Medium"/>
  </r>
  <r>
    <s v="LN0356"/>
    <d v="2025-12-16T00:00:00"/>
    <n v="25"/>
    <s v="Self-Employed"/>
    <n v="1297481"/>
    <n v="700"/>
    <n v="757258"/>
    <n v="14"/>
    <n v="24"/>
    <s v="Education"/>
    <n v="0.32"/>
    <s v="Central"/>
    <x v="2"/>
    <n v="0"/>
    <s v="Good"/>
    <s v="Medium"/>
  </r>
  <r>
    <s v="LN0357"/>
    <d v="2024-09-04T00:00:00"/>
    <n v="49"/>
    <s v="Self-Employed"/>
    <n v="1099172"/>
    <n v="813"/>
    <n v="462942"/>
    <n v="22"/>
    <n v="36"/>
    <s v="Medical"/>
    <n v="0.15"/>
    <s v="North"/>
    <x v="1"/>
    <n v="0"/>
    <s v="Excellent"/>
    <s v="Low"/>
  </r>
  <r>
    <s v="LN0358"/>
    <d v="2024-08-13T00:00:00"/>
    <n v="48"/>
    <s v="Self-Employed"/>
    <n v="288931"/>
    <n v="738"/>
    <n v="1823851"/>
    <n v="18"/>
    <n v="36"/>
    <s v="Home"/>
    <n v="0.43"/>
    <s v="North"/>
    <x v="0"/>
    <n v="0"/>
    <s v="Good"/>
    <s v="High"/>
  </r>
  <r>
    <s v="LN0359"/>
    <d v="2025-11-30T00:00:00"/>
    <n v="43"/>
    <s v="Salaried"/>
    <n v="1372526"/>
    <n v="404"/>
    <n v="1733001"/>
    <n v="16"/>
    <n v="60"/>
    <s v="Home"/>
    <n v="0.51"/>
    <s v="East"/>
    <x v="0"/>
    <n v="1"/>
    <s v="Poor"/>
    <s v="High"/>
  </r>
  <r>
    <s v="LN0360"/>
    <d v="2023-06-06T00:00:00"/>
    <n v="26"/>
    <s v="Self-Employed"/>
    <n v="1721051"/>
    <n v="408"/>
    <n v="1291902"/>
    <n v="22"/>
    <n v="24"/>
    <s v="Vehicle"/>
    <n v="0.17"/>
    <s v="South"/>
    <x v="2"/>
    <n v="0"/>
    <s v="Poor"/>
    <s v="Low"/>
  </r>
  <r>
    <s v="LN0361"/>
    <d v="2025-02-14T00:00:00"/>
    <n v="51"/>
    <s v="Self-Employed"/>
    <n v="2239883"/>
    <n v="631"/>
    <n v="85750"/>
    <n v="18"/>
    <n v="12"/>
    <s v="Education"/>
    <n v="0.22"/>
    <s v="East"/>
    <x v="2"/>
    <n v="0"/>
    <s v="Fair"/>
    <s v="Medium"/>
  </r>
  <r>
    <s v="LN0362"/>
    <d v="2024-03-05T00:00:00"/>
    <n v="48"/>
    <s v="Business"/>
    <n v="1989958"/>
    <n v="509"/>
    <n v="1590779"/>
    <n v="18"/>
    <n v="60"/>
    <s v="Personal"/>
    <n v="0.28"/>
    <s v="East"/>
    <x v="2"/>
    <n v="0"/>
    <s v="Poor"/>
    <s v="Medium"/>
  </r>
  <r>
    <s v="LN0363"/>
    <d v="2024-01-21T00:00:00"/>
    <n v="27"/>
    <s v="Business"/>
    <n v="310161"/>
    <n v="817"/>
    <n v="1745116"/>
    <n v="15"/>
    <n v="60"/>
    <s v="Vehicle"/>
    <n v="0.53"/>
    <s v="Central"/>
    <x v="0"/>
    <n v="1"/>
    <s v="Excellent"/>
    <s v="High"/>
  </r>
  <r>
    <s v="LN0364"/>
    <d v="2024-10-12T00:00:00"/>
    <n v="30"/>
    <s v="Business"/>
    <n v="554466"/>
    <n v="504"/>
    <n v="94002"/>
    <n v="12"/>
    <n v="36"/>
    <s v="Education"/>
    <n v="0.57"/>
    <s v="West"/>
    <x v="2"/>
    <n v="0"/>
    <s v="Poor"/>
    <s v="High"/>
  </r>
  <r>
    <s v="LN0365"/>
    <d v="2023-10-09T00:00:00"/>
    <n v="57"/>
    <s v="Self-Employed"/>
    <n v="1791046"/>
    <n v="758"/>
    <n v="346706"/>
    <n v="9"/>
    <n v="36"/>
    <s v="Vehicle"/>
    <n v="0.16"/>
    <s v="Central"/>
    <x v="1"/>
    <n v="1"/>
    <s v="Excellent"/>
    <s v="Low"/>
  </r>
  <r>
    <s v="LN0366"/>
    <d v="2024-06-15T00:00:00"/>
    <n v="21"/>
    <s v="Business"/>
    <n v="331520"/>
    <n v="318"/>
    <n v="1481954"/>
    <n v="21"/>
    <n v="60"/>
    <s v="Personal"/>
    <n v="0.3"/>
    <s v="West"/>
    <x v="3"/>
    <n v="0"/>
    <s v="Poor"/>
    <s v="Medium"/>
  </r>
  <r>
    <s v="LN0367"/>
    <d v="2024-05-16T00:00:00"/>
    <n v="54"/>
    <s v="Business"/>
    <n v="998873"/>
    <n v="308"/>
    <n v="620120"/>
    <n v="24"/>
    <n v="60"/>
    <s v="Education"/>
    <n v="0.4"/>
    <s v="East"/>
    <x v="3"/>
    <n v="0"/>
    <s v="Poor"/>
    <s v="High"/>
  </r>
  <r>
    <s v="LN0368"/>
    <d v="2023-05-28T00:00:00"/>
    <n v="63"/>
    <s v="Salaried"/>
    <n v="321467"/>
    <n v="820"/>
    <n v="1299176"/>
    <n v="20"/>
    <n v="60"/>
    <s v="Home"/>
    <n v="0.33"/>
    <s v="North"/>
    <x v="0"/>
    <n v="0"/>
    <s v="Excellent"/>
    <s v="Medium"/>
  </r>
  <r>
    <s v="LN0369"/>
    <d v="2025-04-03T00:00:00"/>
    <n v="28"/>
    <s v="Self-Employed"/>
    <n v="1263988"/>
    <n v="385"/>
    <n v="1471538"/>
    <n v="15"/>
    <n v="36"/>
    <s v="Business"/>
    <n v="0.45"/>
    <s v="Central"/>
    <x v="1"/>
    <n v="0"/>
    <s v="Poor"/>
    <s v="High"/>
  </r>
  <r>
    <s v="LN0370"/>
    <d v="2024-08-26T00:00:00"/>
    <n v="56"/>
    <s v="Business"/>
    <n v="2063877"/>
    <n v="501"/>
    <n v="900396"/>
    <n v="16"/>
    <n v="24"/>
    <s v="Vehicle"/>
    <n v="0.12"/>
    <s v="West"/>
    <x v="2"/>
    <n v="0"/>
    <s v="Poor"/>
    <s v="Low"/>
  </r>
  <r>
    <s v="LN0371"/>
    <d v="2025-03-10T00:00:00"/>
    <n v="49"/>
    <s v="Self-Employed"/>
    <n v="1612703"/>
    <n v="305"/>
    <n v="840651"/>
    <n v="22"/>
    <n v="24"/>
    <s v="Personal"/>
    <n v="0.22"/>
    <s v="South"/>
    <x v="3"/>
    <n v="0"/>
    <s v="Poor"/>
    <s v="Medium"/>
  </r>
  <r>
    <s v="LN0372"/>
    <d v="2025-02-16T00:00:00"/>
    <n v="38"/>
    <s v="Business"/>
    <n v="429341"/>
    <n v="439"/>
    <n v="1479459"/>
    <n v="6"/>
    <n v="12"/>
    <s v="Personal"/>
    <n v="0.19"/>
    <s v="Central"/>
    <x v="0"/>
    <n v="0"/>
    <s v="Poor"/>
    <s v="Low"/>
  </r>
  <r>
    <s v="LN0373"/>
    <d v="2023-02-24T00:00:00"/>
    <n v="55"/>
    <s v="Self-Employed"/>
    <n v="1024082"/>
    <n v="749"/>
    <n v="750265"/>
    <n v="13"/>
    <n v="36"/>
    <s v="Home"/>
    <n v="0.29"/>
    <s v="West"/>
    <x v="1"/>
    <n v="0"/>
    <s v="Excellent"/>
    <s v="Medium"/>
  </r>
  <r>
    <s v="LN0374"/>
    <d v="2024-05-04T00:00:00"/>
    <n v="56"/>
    <s v="Business"/>
    <n v="2029038"/>
    <n v="676"/>
    <n v="426635"/>
    <n v="6"/>
    <n v="60"/>
    <s v="Vehicle"/>
    <n v="0.23"/>
    <s v="Central"/>
    <x v="2"/>
    <n v="0"/>
    <s v="Good"/>
    <s v="Medium"/>
  </r>
  <r>
    <s v="LN0375"/>
    <d v="2023-02-13T00:00:00"/>
    <n v="39"/>
    <s v="Salaried"/>
    <n v="827424"/>
    <n v="322"/>
    <n v="98770"/>
    <n v="14"/>
    <n v="60"/>
    <s v="Education"/>
    <n v="0.4"/>
    <s v="West"/>
    <x v="0"/>
    <n v="0"/>
    <s v="Poor"/>
    <s v="High"/>
  </r>
  <r>
    <s v="LN0376"/>
    <d v="2025-08-13T00:00:00"/>
    <n v="37"/>
    <s v="Self-Employed"/>
    <n v="635033"/>
    <n v="575"/>
    <n v="1687878"/>
    <n v="7"/>
    <n v="24"/>
    <s v="Medical"/>
    <n v="0.11"/>
    <s v="Central"/>
    <x v="0"/>
    <n v="1"/>
    <s v="Poor"/>
    <s v="Low"/>
  </r>
  <r>
    <s v="LN0377"/>
    <d v="2024-12-03T00:00:00"/>
    <n v="44"/>
    <s v="Salaried"/>
    <n v="863918"/>
    <n v="367"/>
    <n v="109071"/>
    <n v="8"/>
    <n v="12"/>
    <s v="Medical"/>
    <n v="0.26"/>
    <s v="Central"/>
    <x v="3"/>
    <n v="0"/>
    <s v="Poor"/>
    <s v="Medium"/>
  </r>
  <r>
    <s v="LN0378"/>
    <d v="2023-01-22T00:00:00"/>
    <n v="26"/>
    <s v="Self-Employed"/>
    <n v="1989152"/>
    <n v="379"/>
    <n v="655637"/>
    <n v="17"/>
    <n v="12"/>
    <s v="Medical"/>
    <n v="0.15"/>
    <s v="North"/>
    <x v="1"/>
    <n v="0"/>
    <s v="Poor"/>
    <s v="Low"/>
  </r>
  <r>
    <s v="LN0379"/>
    <d v="2024-10-23T00:00:00"/>
    <n v="44"/>
    <s v="Salaried"/>
    <n v="1144801"/>
    <n v="541"/>
    <n v="449802"/>
    <n v="22"/>
    <n v="12"/>
    <s v="Education"/>
    <n v="0.4"/>
    <s v="South"/>
    <x v="3"/>
    <n v="0"/>
    <s v="Poor"/>
    <s v="High"/>
  </r>
  <r>
    <s v="LN0380"/>
    <d v="2024-03-01T00:00:00"/>
    <n v="24"/>
    <s v="Business"/>
    <n v="796800"/>
    <n v="574"/>
    <n v="1441520"/>
    <n v="10"/>
    <n v="36"/>
    <s v="Vehicle"/>
    <n v="0.59"/>
    <s v="North"/>
    <x v="0"/>
    <n v="1"/>
    <s v="Poor"/>
    <s v="High"/>
  </r>
  <r>
    <s v="LN0381"/>
    <d v="2025-10-27T00:00:00"/>
    <n v="58"/>
    <s v="Business"/>
    <n v="2245578"/>
    <n v="644"/>
    <n v="1816698"/>
    <n v="23"/>
    <n v="12"/>
    <s v="Personal"/>
    <n v="0.47"/>
    <s v="South"/>
    <x v="1"/>
    <n v="0"/>
    <s v="Fair"/>
    <s v="High"/>
  </r>
  <r>
    <s v="LN0382"/>
    <d v="2025-05-27T00:00:00"/>
    <n v="46"/>
    <s v="Self-Employed"/>
    <n v="396482"/>
    <n v="640"/>
    <n v="1998209"/>
    <n v="18"/>
    <n v="36"/>
    <s v="Business"/>
    <n v="0.31"/>
    <s v="Central"/>
    <x v="2"/>
    <n v="0"/>
    <s v="Fair"/>
    <s v="Medium"/>
  </r>
  <r>
    <s v="LN0383"/>
    <d v="2025-10-04T00:00:00"/>
    <n v="51"/>
    <s v="Salaried"/>
    <n v="2292705"/>
    <n v="352"/>
    <n v="931638"/>
    <n v="9"/>
    <n v="12"/>
    <s v="Education"/>
    <n v="0.25"/>
    <s v="Central"/>
    <x v="0"/>
    <n v="0"/>
    <s v="Poor"/>
    <s v="Medium"/>
  </r>
  <r>
    <s v="LN0384"/>
    <d v="2024-01-24T00:00:00"/>
    <n v="53"/>
    <s v="Salaried"/>
    <n v="1746191"/>
    <n v="439"/>
    <n v="350613"/>
    <n v="22"/>
    <n v="12"/>
    <s v="Vehicle"/>
    <n v="0.54"/>
    <s v="South"/>
    <x v="3"/>
    <n v="1"/>
    <s v="Poor"/>
    <s v="High"/>
  </r>
  <r>
    <s v="LN0385"/>
    <d v="2023-02-08T00:00:00"/>
    <n v="56"/>
    <s v="Salaried"/>
    <n v="1337853"/>
    <n v="529"/>
    <n v="1211263"/>
    <n v="7"/>
    <n v="12"/>
    <s v="Medical"/>
    <n v="0.5"/>
    <s v="West"/>
    <x v="2"/>
    <n v="1"/>
    <s v="Poor"/>
    <s v="High"/>
  </r>
  <r>
    <s v="LN0386"/>
    <d v="2023-05-04T00:00:00"/>
    <n v="56"/>
    <s v="Self-Employed"/>
    <n v="1213042"/>
    <n v="751"/>
    <n v="162992"/>
    <n v="16"/>
    <n v="36"/>
    <s v="Medical"/>
    <n v="0.48"/>
    <s v="Central"/>
    <x v="0"/>
    <n v="1"/>
    <s v="Excellent"/>
    <s v="High"/>
  </r>
  <r>
    <s v="LN0387"/>
    <d v="2025-08-09T00:00:00"/>
    <n v="31"/>
    <s v="Self-Employed"/>
    <n v="2306314"/>
    <n v="757"/>
    <n v="435739"/>
    <n v="6"/>
    <n v="24"/>
    <s v="Vehicle"/>
    <n v="0.36"/>
    <s v="North"/>
    <x v="0"/>
    <n v="1"/>
    <s v="Excellent"/>
    <s v="Medium"/>
  </r>
  <r>
    <s v="LN0388"/>
    <d v="2025-01-25T00:00:00"/>
    <n v="44"/>
    <s v="Salaried"/>
    <n v="1477864"/>
    <n v="694"/>
    <n v="1356465"/>
    <n v="12"/>
    <n v="60"/>
    <s v="Business"/>
    <n v="0.34"/>
    <s v="South"/>
    <x v="0"/>
    <n v="0"/>
    <s v="Good"/>
    <s v="Medium"/>
  </r>
  <r>
    <s v="LN0389"/>
    <d v="2024-01-28T00:00:00"/>
    <n v="25"/>
    <s v="Self-Employed"/>
    <n v="848677"/>
    <n v="462"/>
    <n v="910402"/>
    <n v="13"/>
    <n v="60"/>
    <s v="Education"/>
    <n v="0.51"/>
    <s v="East"/>
    <x v="3"/>
    <n v="0"/>
    <s v="Poor"/>
    <s v="High"/>
  </r>
  <r>
    <s v="LN0390"/>
    <d v="2023-11-16T00:00:00"/>
    <n v="54"/>
    <s v="Business"/>
    <n v="693322"/>
    <n v="649"/>
    <n v="261070"/>
    <n v="15"/>
    <n v="36"/>
    <s v="Vehicle"/>
    <n v="0.13"/>
    <s v="East"/>
    <x v="1"/>
    <n v="1"/>
    <s v="Fair"/>
    <s v="Low"/>
  </r>
  <r>
    <s v="LN0391"/>
    <d v="2023-09-26T00:00:00"/>
    <n v="27"/>
    <s v="Business"/>
    <n v="2089625"/>
    <n v="703"/>
    <n v="941940"/>
    <n v="16"/>
    <n v="36"/>
    <s v="Business"/>
    <n v="0.26"/>
    <s v="East"/>
    <x v="3"/>
    <n v="0"/>
    <s v="Good"/>
    <s v="Medium"/>
  </r>
  <r>
    <s v="LN0392"/>
    <d v="2024-09-26T00:00:00"/>
    <n v="39"/>
    <s v="Salaried"/>
    <n v="1065654"/>
    <n v="385"/>
    <n v="1059900"/>
    <n v="11"/>
    <n v="12"/>
    <s v="Education"/>
    <n v="0.41"/>
    <s v="Central"/>
    <x v="3"/>
    <n v="0"/>
    <s v="Poor"/>
    <s v="High"/>
  </r>
  <r>
    <s v="LN0393"/>
    <d v="2024-08-22T00:00:00"/>
    <n v="63"/>
    <s v="Business"/>
    <n v="1625416"/>
    <n v="366"/>
    <n v="1999110"/>
    <n v="20"/>
    <n v="24"/>
    <s v="Home"/>
    <n v="0.54"/>
    <s v="West"/>
    <x v="3"/>
    <n v="1"/>
    <s v="Poor"/>
    <s v="High"/>
  </r>
  <r>
    <s v="LN0394"/>
    <d v="2024-06-20T00:00:00"/>
    <n v="27"/>
    <s v="Business"/>
    <n v="2370102"/>
    <n v="459"/>
    <n v="1349309"/>
    <n v="16"/>
    <n v="60"/>
    <s v="Education"/>
    <n v="0.53"/>
    <s v="East"/>
    <x v="0"/>
    <n v="1"/>
    <s v="Poor"/>
    <s v="High"/>
  </r>
  <r>
    <s v="LN0395"/>
    <d v="2024-10-27T00:00:00"/>
    <n v="21"/>
    <s v="Salaried"/>
    <n v="342237"/>
    <n v="645"/>
    <n v="1405508"/>
    <n v="24"/>
    <n v="60"/>
    <s v="Home"/>
    <n v="0.3"/>
    <s v="Central"/>
    <x v="2"/>
    <n v="0"/>
    <s v="Fair"/>
    <s v="Medium"/>
  </r>
  <r>
    <s v="LN0396"/>
    <d v="2024-10-24T00:00:00"/>
    <n v="61"/>
    <s v="Business"/>
    <n v="1276714"/>
    <n v="609"/>
    <n v="1190188"/>
    <n v="13"/>
    <n v="12"/>
    <s v="Vehicle"/>
    <n v="0.52"/>
    <s v="South"/>
    <x v="2"/>
    <n v="0"/>
    <s v="Fair"/>
    <s v="High"/>
  </r>
  <r>
    <s v="LN0397"/>
    <d v="2025-10-06T00:00:00"/>
    <n v="44"/>
    <s v="Salaried"/>
    <n v="870710"/>
    <n v="731"/>
    <n v="81954"/>
    <n v="20"/>
    <n v="36"/>
    <s v="Business"/>
    <n v="0.43"/>
    <s v="West"/>
    <x v="0"/>
    <n v="0"/>
    <s v="Good"/>
    <s v="High"/>
  </r>
  <r>
    <s v="LN0398"/>
    <d v="2023-04-15T00:00:00"/>
    <n v="52"/>
    <s v="Salaried"/>
    <n v="1885521"/>
    <n v="692"/>
    <n v="1532786"/>
    <n v="17"/>
    <n v="12"/>
    <s v="Medical"/>
    <n v="0.52"/>
    <s v="South"/>
    <x v="1"/>
    <n v="0"/>
    <s v="Good"/>
    <s v="High"/>
  </r>
  <r>
    <s v="LN0399"/>
    <d v="2025-03-01T00:00:00"/>
    <n v="54"/>
    <s v="Salaried"/>
    <n v="716521"/>
    <n v="738"/>
    <n v="880675"/>
    <n v="21"/>
    <n v="36"/>
    <s v="Medical"/>
    <n v="0.57"/>
    <s v="North"/>
    <x v="3"/>
    <n v="0"/>
    <s v="Good"/>
    <s v="High"/>
  </r>
  <r>
    <s v="LN0400"/>
    <d v="2023-10-22T00:00:00"/>
    <n v="24"/>
    <s v="Business"/>
    <n v="2294186"/>
    <n v="455"/>
    <n v="1914186"/>
    <n v="8"/>
    <n v="12"/>
    <s v="Business"/>
    <n v="0.29"/>
    <s v="North"/>
    <x v="0"/>
    <n v="0"/>
    <s v="Poor"/>
    <s v="Medium"/>
  </r>
  <r>
    <s v="LN0401"/>
    <d v="2025-07-05T00:00:00"/>
    <n v="59"/>
    <s v="Salaried"/>
    <n v="1499878"/>
    <n v="548"/>
    <n v="1919741"/>
    <n v="14"/>
    <n v="12"/>
    <s v="Vehicle"/>
    <n v="0.54"/>
    <s v="Central"/>
    <x v="3"/>
    <n v="1"/>
    <s v="Poor"/>
    <s v="High"/>
  </r>
  <r>
    <s v="LN0402"/>
    <d v="2025-05-25T00:00:00"/>
    <n v="36"/>
    <s v="Salaried"/>
    <n v="718423"/>
    <n v="639"/>
    <n v="470122"/>
    <n v="7"/>
    <n v="36"/>
    <s v="Vehicle"/>
    <n v="0.59"/>
    <s v="East"/>
    <x v="3"/>
    <n v="0"/>
    <s v="Fair"/>
    <s v="High"/>
  </r>
  <r>
    <s v="LN0403"/>
    <d v="2023-03-07T00:00:00"/>
    <n v="23"/>
    <s v="Self-Employed"/>
    <n v="948918"/>
    <n v="713"/>
    <n v="200651"/>
    <n v="15"/>
    <n v="24"/>
    <s v="Business"/>
    <n v="0.5600000000000001"/>
    <s v="North"/>
    <x v="1"/>
    <n v="0"/>
    <s v="Good"/>
    <s v="High"/>
  </r>
  <r>
    <s v="LN0404"/>
    <d v="2025-04-03T00:00:00"/>
    <n v="33"/>
    <s v="Salaried"/>
    <n v="1078176"/>
    <n v="523"/>
    <n v="595789"/>
    <n v="21"/>
    <n v="24"/>
    <s v="Business"/>
    <n v="0.29"/>
    <s v="Central"/>
    <x v="0"/>
    <n v="1"/>
    <s v="Poor"/>
    <s v="Medium"/>
  </r>
  <r>
    <s v="LN0405"/>
    <d v="2024-01-04T00:00:00"/>
    <n v="61"/>
    <s v="Self-Employed"/>
    <n v="2062568"/>
    <n v="539"/>
    <n v="842460"/>
    <n v="6"/>
    <n v="60"/>
    <s v="Medical"/>
    <n v="0.13"/>
    <s v="Central"/>
    <x v="3"/>
    <n v="0"/>
    <s v="Poor"/>
    <s v="Low"/>
  </r>
  <r>
    <s v="LN0406"/>
    <d v="2023-10-08T00:00:00"/>
    <n v="34"/>
    <s v="Salaried"/>
    <n v="1122668"/>
    <n v="378"/>
    <n v="673625"/>
    <n v="23"/>
    <n v="24"/>
    <s v="Vehicle"/>
    <n v="0.26"/>
    <s v="West"/>
    <x v="2"/>
    <n v="0"/>
    <s v="Poor"/>
    <s v="Medium"/>
  </r>
  <r>
    <s v="LN0407"/>
    <d v="2024-11-27T00:00:00"/>
    <n v="30"/>
    <s v="Self-Employed"/>
    <n v="699329"/>
    <n v="426"/>
    <n v="989047"/>
    <n v="24"/>
    <n v="60"/>
    <s v="Education"/>
    <n v="0.44"/>
    <s v="Central"/>
    <x v="1"/>
    <n v="0"/>
    <s v="Poor"/>
    <s v="High"/>
  </r>
  <r>
    <s v="LN0408"/>
    <d v="2023-02-16T00:00:00"/>
    <n v="31"/>
    <s v="Self-Employed"/>
    <n v="1651313"/>
    <n v="614"/>
    <n v="1624206"/>
    <n v="16"/>
    <n v="36"/>
    <s v="Business"/>
    <n v="0.14"/>
    <s v="North"/>
    <x v="0"/>
    <n v="0"/>
    <s v="Fair"/>
    <s v="Low"/>
  </r>
  <r>
    <s v="LN0409"/>
    <d v="2023-08-25T00:00:00"/>
    <n v="30"/>
    <s v="Self-Employed"/>
    <n v="787260"/>
    <n v="539"/>
    <n v="1757167"/>
    <n v="14"/>
    <n v="12"/>
    <s v="Vehicle"/>
    <n v="0.35"/>
    <s v="Central"/>
    <x v="3"/>
    <n v="1"/>
    <s v="Poor"/>
    <s v="Medium"/>
  </r>
  <r>
    <s v="LN0410"/>
    <d v="2023-01-09T00:00:00"/>
    <n v="26"/>
    <s v="Self-Employed"/>
    <n v="1687247"/>
    <n v="337"/>
    <n v="909279"/>
    <n v="16"/>
    <n v="60"/>
    <s v="Business"/>
    <n v="0.59"/>
    <s v="East"/>
    <x v="3"/>
    <n v="0"/>
    <s v="Poor"/>
    <s v="High"/>
  </r>
  <r>
    <s v="LN0411"/>
    <d v="2023-01-07T00:00:00"/>
    <n v="37"/>
    <s v="Salaried"/>
    <n v="1414587"/>
    <n v="668"/>
    <n v="503514"/>
    <n v="14"/>
    <n v="36"/>
    <s v="Medical"/>
    <n v="0.52"/>
    <s v="Central"/>
    <x v="1"/>
    <n v="0"/>
    <s v="Fair"/>
    <s v="High"/>
  </r>
  <r>
    <s v="LN0412"/>
    <d v="2023-10-26T00:00:00"/>
    <n v="51"/>
    <s v="Salaried"/>
    <n v="363848"/>
    <n v="528"/>
    <n v="1057992"/>
    <n v="13"/>
    <n v="60"/>
    <s v="Business"/>
    <n v="0.38"/>
    <s v="North"/>
    <x v="2"/>
    <n v="1"/>
    <s v="Poor"/>
    <s v="Medium"/>
  </r>
  <r>
    <s v="LN0413"/>
    <d v="2025-04-29T00:00:00"/>
    <n v="42"/>
    <s v="Self-Employed"/>
    <n v="1746560"/>
    <n v="622"/>
    <n v="907778"/>
    <n v="21"/>
    <n v="24"/>
    <s v="Business"/>
    <n v="0.19"/>
    <s v="Central"/>
    <x v="1"/>
    <n v="0"/>
    <s v="Fair"/>
    <s v="Low"/>
  </r>
  <r>
    <s v="LN0414"/>
    <d v="2024-05-01T00:00:00"/>
    <n v="55"/>
    <s v="Salaried"/>
    <n v="273315"/>
    <n v="615"/>
    <n v="1122902"/>
    <n v="13"/>
    <n v="24"/>
    <s v="Personal"/>
    <n v="0.16"/>
    <s v="South"/>
    <x v="1"/>
    <n v="0"/>
    <s v="Fair"/>
    <s v="Low"/>
  </r>
  <r>
    <s v="LN0415"/>
    <d v="2025-10-20T00:00:00"/>
    <n v="56"/>
    <s v="Salaried"/>
    <n v="1187389"/>
    <n v="515"/>
    <n v="200021"/>
    <n v="21"/>
    <n v="60"/>
    <s v="Vehicle"/>
    <n v="0.34"/>
    <s v="East"/>
    <x v="2"/>
    <n v="0"/>
    <s v="Poor"/>
    <s v="Medium"/>
  </r>
  <r>
    <s v="LN0416"/>
    <d v="2023-07-15T00:00:00"/>
    <n v="21"/>
    <s v="Salaried"/>
    <n v="1482261"/>
    <n v="499"/>
    <n v="477572"/>
    <n v="12"/>
    <n v="36"/>
    <s v="Business"/>
    <n v="0.51"/>
    <s v="West"/>
    <x v="1"/>
    <n v="1"/>
    <s v="Poor"/>
    <s v="High"/>
  </r>
  <r>
    <s v="LN0417"/>
    <d v="2024-11-06T00:00:00"/>
    <n v="60"/>
    <s v="Salaried"/>
    <n v="2287632"/>
    <n v="591"/>
    <n v="1311255"/>
    <n v="12"/>
    <n v="24"/>
    <s v="Personal"/>
    <n v="0.34"/>
    <s v="Central"/>
    <x v="1"/>
    <n v="0"/>
    <s v="Fair"/>
    <s v="Medium"/>
  </r>
  <r>
    <s v="LN0418"/>
    <d v="2024-07-16T00:00:00"/>
    <n v="33"/>
    <s v="Salaried"/>
    <n v="2119933"/>
    <n v="515"/>
    <n v="788110"/>
    <n v="14"/>
    <n v="60"/>
    <s v="Home"/>
    <n v="0.36"/>
    <s v="West"/>
    <x v="0"/>
    <n v="0"/>
    <s v="Poor"/>
    <s v="Medium"/>
  </r>
  <r>
    <s v="LN0419"/>
    <d v="2024-06-06T00:00:00"/>
    <n v="38"/>
    <s v="Salaried"/>
    <n v="336081"/>
    <n v="840"/>
    <n v="951450"/>
    <n v="13"/>
    <n v="12"/>
    <s v="Home"/>
    <n v="0.36"/>
    <s v="North"/>
    <x v="3"/>
    <n v="0"/>
    <s v="Excellent"/>
    <s v="Medium"/>
  </r>
  <r>
    <s v="LN0420"/>
    <d v="2024-12-06T00:00:00"/>
    <n v="47"/>
    <s v="Self-Employed"/>
    <n v="1101165"/>
    <n v="548"/>
    <n v="252904"/>
    <n v="6"/>
    <n v="12"/>
    <s v="Personal"/>
    <n v="0.13"/>
    <s v="Central"/>
    <x v="2"/>
    <n v="0"/>
    <s v="Poor"/>
    <s v="Low"/>
  </r>
  <r>
    <s v="LN0421"/>
    <d v="2023-07-16T00:00:00"/>
    <n v="31"/>
    <s v="Business"/>
    <n v="1460217"/>
    <n v="719"/>
    <n v="1879791"/>
    <n v="15"/>
    <n v="60"/>
    <s v="Vehicle"/>
    <n v="0.16"/>
    <s v="East"/>
    <x v="0"/>
    <n v="0"/>
    <s v="Good"/>
    <s v="Low"/>
  </r>
  <r>
    <s v="LN0422"/>
    <d v="2025-08-03T00:00:00"/>
    <n v="40"/>
    <s v="Business"/>
    <n v="508385"/>
    <n v="711"/>
    <n v="445933"/>
    <n v="19"/>
    <n v="60"/>
    <s v="Business"/>
    <n v="0.5600000000000001"/>
    <s v="South"/>
    <x v="1"/>
    <n v="0"/>
    <s v="Good"/>
    <s v="High"/>
  </r>
  <r>
    <s v="LN0423"/>
    <d v="2023-02-05T00:00:00"/>
    <n v="35"/>
    <s v="Self-Employed"/>
    <n v="1102953"/>
    <n v="429"/>
    <n v="950821"/>
    <n v="21"/>
    <n v="24"/>
    <s v="Education"/>
    <n v="0.36"/>
    <s v="East"/>
    <x v="0"/>
    <n v="0"/>
    <s v="Poor"/>
    <s v="Medium"/>
  </r>
  <r>
    <s v="LN0424"/>
    <d v="2024-07-12T00:00:00"/>
    <n v="31"/>
    <s v="Salaried"/>
    <n v="946956"/>
    <n v="454"/>
    <n v="336352"/>
    <n v="12"/>
    <n v="24"/>
    <s v="Business"/>
    <n v="0.48"/>
    <s v="East"/>
    <x v="3"/>
    <n v="0"/>
    <s v="Poor"/>
    <s v="High"/>
  </r>
  <r>
    <s v="LN0425"/>
    <d v="2023-06-19T00:00:00"/>
    <n v="31"/>
    <s v="Self-Employed"/>
    <n v="944543"/>
    <n v="373"/>
    <n v="1334742"/>
    <n v="19"/>
    <n v="36"/>
    <s v="Medical"/>
    <n v="0.39"/>
    <s v="North"/>
    <x v="1"/>
    <n v="1"/>
    <s v="Poor"/>
    <s v="Medium"/>
  </r>
  <r>
    <s v="LN0426"/>
    <d v="2024-03-25T00:00:00"/>
    <n v="41"/>
    <s v="Business"/>
    <n v="1628963"/>
    <n v="395"/>
    <n v="1472196"/>
    <n v="9"/>
    <n v="24"/>
    <s v="Personal"/>
    <n v="0.2"/>
    <s v="North"/>
    <x v="3"/>
    <n v="0"/>
    <s v="Poor"/>
    <s v="Medium"/>
  </r>
  <r>
    <s v="LN0427"/>
    <d v="2023-11-30T00:00:00"/>
    <n v="21"/>
    <s v="Business"/>
    <n v="780587"/>
    <n v="429"/>
    <n v="446739"/>
    <n v="21"/>
    <n v="60"/>
    <s v="Medical"/>
    <n v="0.2"/>
    <s v="East"/>
    <x v="2"/>
    <n v="0"/>
    <s v="Poor"/>
    <s v="Medium"/>
  </r>
  <r>
    <s v="LN0428"/>
    <d v="2024-02-03T00:00:00"/>
    <n v="25"/>
    <s v="Business"/>
    <n v="260428"/>
    <n v="817"/>
    <n v="500110"/>
    <n v="18"/>
    <n v="12"/>
    <s v="Business"/>
    <n v="0.48"/>
    <s v="East"/>
    <x v="2"/>
    <n v="0"/>
    <s v="Excellent"/>
    <s v="High"/>
  </r>
  <r>
    <s v="LN0429"/>
    <d v="2024-10-23T00:00:00"/>
    <n v="52"/>
    <s v="Self-Employed"/>
    <n v="1202026"/>
    <n v="425"/>
    <n v="1456597"/>
    <n v="7"/>
    <n v="60"/>
    <s v="Home"/>
    <n v="0.55"/>
    <s v="East"/>
    <x v="1"/>
    <n v="1"/>
    <s v="Poor"/>
    <s v="High"/>
  </r>
  <r>
    <s v="LN0430"/>
    <d v="2025-03-28T00:00:00"/>
    <n v="64"/>
    <s v="Business"/>
    <n v="1669563"/>
    <n v="333"/>
    <n v="1282783"/>
    <n v="20"/>
    <n v="36"/>
    <s v="Business"/>
    <n v="0.46"/>
    <s v="West"/>
    <x v="1"/>
    <n v="1"/>
    <s v="Poor"/>
    <s v="High"/>
  </r>
  <r>
    <s v="LN0431"/>
    <d v="2023-12-19T00:00:00"/>
    <n v="37"/>
    <s v="Salaried"/>
    <n v="2042833"/>
    <n v="828"/>
    <n v="380116"/>
    <n v="12"/>
    <n v="12"/>
    <s v="Personal"/>
    <n v="0.29"/>
    <s v="South"/>
    <x v="3"/>
    <n v="0"/>
    <s v="Excellent"/>
    <s v="Medium"/>
  </r>
  <r>
    <s v="LN0432"/>
    <d v="2023-07-08T00:00:00"/>
    <n v="52"/>
    <s v="Self-Employed"/>
    <n v="1543199"/>
    <n v="679"/>
    <n v="923069"/>
    <n v="14"/>
    <n v="24"/>
    <s v="Personal"/>
    <n v="0.5"/>
    <s v="East"/>
    <x v="2"/>
    <n v="0"/>
    <s v="Good"/>
    <s v="High"/>
  </r>
  <r>
    <s v="LN0433"/>
    <d v="2023-09-15T00:00:00"/>
    <n v="22"/>
    <s v="Salaried"/>
    <n v="550850"/>
    <n v="717"/>
    <n v="847873"/>
    <n v="14"/>
    <n v="60"/>
    <s v="Vehicle"/>
    <n v="0.14"/>
    <s v="East"/>
    <x v="0"/>
    <n v="0"/>
    <s v="Good"/>
    <s v="Low"/>
  </r>
  <r>
    <s v="LN0434"/>
    <d v="2023-07-11T00:00:00"/>
    <n v="53"/>
    <s v="Salaried"/>
    <n v="1931737"/>
    <n v="535"/>
    <n v="1073291"/>
    <n v="13"/>
    <n v="24"/>
    <s v="Personal"/>
    <n v="0.31"/>
    <s v="North"/>
    <x v="0"/>
    <n v="0"/>
    <s v="Poor"/>
    <s v="Medium"/>
  </r>
  <r>
    <s v="LN0435"/>
    <d v="2025-10-07T00:00:00"/>
    <n v="44"/>
    <s v="Salaried"/>
    <n v="1905001"/>
    <n v="327"/>
    <n v="74778"/>
    <n v="7"/>
    <n v="12"/>
    <s v="Medical"/>
    <n v="0.34"/>
    <s v="North"/>
    <x v="0"/>
    <n v="0"/>
    <s v="Poor"/>
    <s v="Medium"/>
  </r>
  <r>
    <s v="LN0436"/>
    <d v="2024-02-22T00:00:00"/>
    <n v="27"/>
    <s v="Business"/>
    <n v="1405661"/>
    <n v="379"/>
    <n v="787954"/>
    <n v="9"/>
    <n v="24"/>
    <s v="Vehicle"/>
    <n v="0.39"/>
    <s v="North"/>
    <x v="1"/>
    <n v="0"/>
    <s v="Poor"/>
    <s v="Medium"/>
  </r>
  <r>
    <s v="LN0437"/>
    <d v="2025-02-20T00:00:00"/>
    <n v="38"/>
    <s v="Self-Employed"/>
    <n v="2070721"/>
    <n v="787"/>
    <n v="1292460"/>
    <n v="16"/>
    <n v="12"/>
    <s v="Vehicle"/>
    <n v="0.34"/>
    <s v="Central"/>
    <x v="0"/>
    <n v="0"/>
    <s v="Excellent"/>
    <s v="Medium"/>
  </r>
  <r>
    <s v="LN0438"/>
    <d v="2023-01-16T00:00:00"/>
    <n v="33"/>
    <s v="Self-Employed"/>
    <n v="676214"/>
    <n v="724"/>
    <n v="262731"/>
    <n v="17"/>
    <n v="36"/>
    <s v="Personal"/>
    <n v="0.5600000000000001"/>
    <s v="South"/>
    <x v="2"/>
    <n v="0"/>
    <s v="Good"/>
    <s v="High"/>
  </r>
  <r>
    <s v="LN0439"/>
    <d v="2024-05-11T00:00:00"/>
    <n v="55"/>
    <s v="Self-Employed"/>
    <n v="1968931"/>
    <n v="633"/>
    <n v="1451572"/>
    <n v="19"/>
    <n v="36"/>
    <s v="Education"/>
    <n v="0.13"/>
    <s v="Central"/>
    <x v="1"/>
    <n v="0"/>
    <s v="Fair"/>
    <s v="Low"/>
  </r>
  <r>
    <s v="LN0440"/>
    <d v="2023-06-30T00:00:00"/>
    <n v="26"/>
    <s v="Business"/>
    <n v="2106820"/>
    <n v="746"/>
    <n v="490006"/>
    <n v="21"/>
    <n v="24"/>
    <s v="Education"/>
    <n v="0.58"/>
    <s v="North"/>
    <x v="3"/>
    <n v="0"/>
    <s v="Excellent"/>
    <s v="High"/>
  </r>
  <r>
    <s v="LN0441"/>
    <d v="2023-05-03T00:00:00"/>
    <n v="59"/>
    <s v="Business"/>
    <n v="449433"/>
    <n v="333"/>
    <n v="205845"/>
    <n v="11"/>
    <n v="12"/>
    <s v="Home"/>
    <n v="0.5"/>
    <s v="West"/>
    <x v="3"/>
    <n v="1"/>
    <s v="Poor"/>
    <s v="High"/>
  </r>
  <r>
    <s v="LN0442"/>
    <d v="2025-03-11T00:00:00"/>
    <n v="34"/>
    <s v="Salaried"/>
    <n v="348110"/>
    <n v="400"/>
    <n v="1972767"/>
    <n v="11"/>
    <n v="60"/>
    <s v="Education"/>
    <n v="0.49"/>
    <s v="East"/>
    <x v="0"/>
    <n v="1"/>
    <s v="Poor"/>
    <s v="High"/>
  </r>
  <r>
    <s v="LN0443"/>
    <d v="2024-01-24T00:00:00"/>
    <n v="29"/>
    <s v="Self-Employed"/>
    <n v="1612002"/>
    <n v="605"/>
    <n v="1822989"/>
    <n v="18"/>
    <n v="36"/>
    <s v="Medical"/>
    <n v="0.35"/>
    <s v="South"/>
    <x v="2"/>
    <n v="1"/>
    <s v="Fair"/>
    <s v="Medium"/>
  </r>
  <r>
    <s v="LN0444"/>
    <d v="2025-08-22T00:00:00"/>
    <n v="48"/>
    <s v="Self-Employed"/>
    <n v="871341"/>
    <n v="641"/>
    <n v="484372"/>
    <n v="24"/>
    <n v="24"/>
    <s v="Education"/>
    <n v="0.24"/>
    <s v="Central"/>
    <x v="1"/>
    <n v="0"/>
    <s v="Fair"/>
    <s v="Medium"/>
  </r>
  <r>
    <s v="LN0445"/>
    <d v="2024-11-13T00:00:00"/>
    <n v="24"/>
    <s v="Business"/>
    <n v="1715005"/>
    <n v="771"/>
    <n v="792679"/>
    <n v="9"/>
    <n v="36"/>
    <s v="Home"/>
    <n v="0.26"/>
    <s v="South"/>
    <x v="2"/>
    <n v="0"/>
    <s v="Excellent"/>
    <s v="Medium"/>
  </r>
  <r>
    <s v="LN0446"/>
    <d v="2024-07-26T00:00:00"/>
    <n v="55"/>
    <s v="Salaried"/>
    <n v="2164660"/>
    <n v="511"/>
    <n v="1067777"/>
    <n v="17"/>
    <n v="12"/>
    <s v="Home"/>
    <n v="0.48"/>
    <s v="East"/>
    <x v="0"/>
    <n v="1"/>
    <s v="Poor"/>
    <s v="High"/>
  </r>
  <r>
    <s v="LN0447"/>
    <d v="2024-03-19T00:00:00"/>
    <n v="60"/>
    <s v="Self-Employed"/>
    <n v="529856"/>
    <n v="719"/>
    <n v="157945"/>
    <n v="16"/>
    <n v="12"/>
    <s v="Personal"/>
    <n v="0.22"/>
    <s v="South"/>
    <x v="2"/>
    <n v="0"/>
    <s v="Good"/>
    <s v="Medium"/>
  </r>
  <r>
    <s v="LN0448"/>
    <d v="2025-11-08T00:00:00"/>
    <n v="23"/>
    <s v="Business"/>
    <n v="1557122"/>
    <n v="660"/>
    <n v="1597669"/>
    <n v="19"/>
    <n v="36"/>
    <s v="Business"/>
    <n v="0.57"/>
    <s v="East"/>
    <x v="1"/>
    <n v="1"/>
    <s v="Fair"/>
    <s v="High"/>
  </r>
  <r>
    <s v="LN0449"/>
    <d v="2023-10-14T00:00:00"/>
    <n v="60"/>
    <s v="Self-Employed"/>
    <n v="352843"/>
    <n v="545"/>
    <n v="407941"/>
    <n v="19"/>
    <n v="12"/>
    <s v="Personal"/>
    <n v="0.6"/>
    <s v="Central"/>
    <x v="0"/>
    <n v="1"/>
    <s v="Poor"/>
    <s v="High"/>
  </r>
  <r>
    <s v="LN0450"/>
    <d v="2025-10-25T00:00:00"/>
    <n v="60"/>
    <s v="Self-Employed"/>
    <n v="491715"/>
    <n v="389"/>
    <n v="1555411"/>
    <n v="9"/>
    <n v="36"/>
    <s v="Medical"/>
    <n v="0.38"/>
    <s v="West"/>
    <x v="1"/>
    <n v="1"/>
    <s v="Poor"/>
    <s v="Medium"/>
  </r>
  <r>
    <s v="LN0451"/>
    <d v="2024-11-22T00:00:00"/>
    <n v="54"/>
    <s v="Salaried"/>
    <n v="1463151"/>
    <n v="729"/>
    <n v="1452009"/>
    <n v="8"/>
    <n v="24"/>
    <s v="Medical"/>
    <n v="0.42"/>
    <s v="South"/>
    <x v="3"/>
    <n v="0"/>
    <s v="Good"/>
    <s v="High"/>
  </r>
  <r>
    <s v="LN0452"/>
    <d v="2023-10-30T00:00:00"/>
    <n v="32"/>
    <s v="Salaried"/>
    <n v="1497999"/>
    <n v="628"/>
    <n v="604690"/>
    <n v="8"/>
    <n v="12"/>
    <s v="Medical"/>
    <n v="0.5"/>
    <s v="South"/>
    <x v="0"/>
    <n v="0"/>
    <s v="Fair"/>
    <s v="High"/>
  </r>
  <r>
    <s v="LN0453"/>
    <d v="2024-05-16T00:00:00"/>
    <n v="31"/>
    <s v="Self-Employed"/>
    <n v="2229388"/>
    <n v="352"/>
    <n v="1952293"/>
    <n v="18"/>
    <n v="24"/>
    <s v="Personal"/>
    <n v="0.47"/>
    <s v="East"/>
    <x v="3"/>
    <n v="0"/>
    <s v="Poor"/>
    <s v="High"/>
  </r>
  <r>
    <s v="LN0454"/>
    <d v="2024-06-21T00:00:00"/>
    <n v="54"/>
    <s v="Salaried"/>
    <n v="889113"/>
    <n v="435"/>
    <n v="214914"/>
    <n v="16"/>
    <n v="36"/>
    <s v="Education"/>
    <n v="0.24"/>
    <s v="South"/>
    <x v="0"/>
    <n v="0"/>
    <s v="Poor"/>
    <s v="Medium"/>
  </r>
  <r>
    <s v="LN0455"/>
    <d v="2024-02-20T00:00:00"/>
    <n v="31"/>
    <s v="Self-Employed"/>
    <n v="1409051"/>
    <n v="444"/>
    <n v="1454486"/>
    <n v="16"/>
    <n v="36"/>
    <s v="Home"/>
    <n v="0.51"/>
    <s v="North"/>
    <x v="2"/>
    <n v="0"/>
    <s v="Poor"/>
    <s v="High"/>
  </r>
  <r>
    <s v="LN0456"/>
    <d v="2025-04-05T00:00:00"/>
    <n v="21"/>
    <s v="Self-Employed"/>
    <n v="2190046"/>
    <n v="591"/>
    <n v="325586"/>
    <n v="20"/>
    <n v="12"/>
    <s v="Personal"/>
    <n v="0.38"/>
    <s v="West"/>
    <x v="3"/>
    <n v="1"/>
    <s v="Fair"/>
    <s v="Medium"/>
  </r>
  <r>
    <s v="LN0457"/>
    <d v="2023-09-19T00:00:00"/>
    <n v="35"/>
    <s v="Self-Employed"/>
    <n v="796049"/>
    <n v="690"/>
    <n v="863376"/>
    <n v="10"/>
    <n v="12"/>
    <s v="Education"/>
    <n v="0.18"/>
    <s v="North"/>
    <x v="2"/>
    <n v="0"/>
    <s v="Good"/>
    <s v="Low"/>
  </r>
  <r>
    <s v="LN0458"/>
    <d v="2024-01-08T00:00:00"/>
    <n v="31"/>
    <s v="Self-Employed"/>
    <n v="1208106"/>
    <n v="847"/>
    <n v="489285"/>
    <n v="14"/>
    <n v="36"/>
    <s v="Home"/>
    <n v="0.37"/>
    <s v="Central"/>
    <x v="0"/>
    <n v="0"/>
    <s v="Excellent"/>
    <s v="Medium"/>
  </r>
  <r>
    <s v="LN0459"/>
    <d v="2024-09-17T00:00:00"/>
    <n v="32"/>
    <s v="Business"/>
    <n v="765883"/>
    <n v="506"/>
    <n v="1095873"/>
    <n v="8"/>
    <n v="60"/>
    <s v="Education"/>
    <n v="0.6"/>
    <s v="North"/>
    <x v="2"/>
    <n v="1"/>
    <s v="Poor"/>
    <s v="High"/>
  </r>
  <r>
    <s v="LN0460"/>
    <d v="2024-09-10T00:00:00"/>
    <n v="48"/>
    <s v="Salaried"/>
    <n v="1532518"/>
    <n v="550"/>
    <n v="1197216"/>
    <n v="16"/>
    <n v="36"/>
    <s v="Home"/>
    <n v="0.12"/>
    <s v="East"/>
    <x v="3"/>
    <n v="1"/>
    <s v="Poor"/>
    <s v="Low"/>
  </r>
  <r>
    <s v="LN0461"/>
    <d v="2025-10-03T00:00:00"/>
    <n v="52"/>
    <s v="Business"/>
    <n v="1753297"/>
    <n v="676"/>
    <n v="149067"/>
    <n v="20"/>
    <n v="60"/>
    <s v="Medical"/>
    <n v="0.31"/>
    <s v="South"/>
    <x v="2"/>
    <n v="0"/>
    <s v="Good"/>
    <s v="Medium"/>
  </r>
  <r>
    <s v="LN0462"/>
    <d v="2025-09-28T00:00:00"/>
    <n v="59"/>
    <s v="Salaried"/>
    <n v="1032433"/>
    <n v="550"/>
    <n v="1290993"/>
    <n v="18"/>
    <n v="36"/>
    <s v="Business"/>
    <n v="0.25"/>
    <s v="North"/>
    <x v="2"/>
    <n v="0"/>
    <s v="Poor"/>
    <s v="Medium"/>
  </r>
  <r>
    <s v="LN0463"/>
    <d v="2025-09-12T00:00:00"/>
    <n v="21"/>
    <s v="Self-Employed"/>
    <n v="1135679"/>
    <n v="465"/>
    <n v="1083457"/>
    <n v="8"/>
    <n v="60"/>
    <s v="Home"/>
    <n v="0.37"/>
    <s v="South"/>
    <x v="0"/>
    <n v="0"/>
    <s v="Poor"/>
    <s v="Medium"/>
  </r>
  <r>
    <s v="LN0464"/>
    <d v="2023-09-21T00:00:00"/>
    <n v="60"/>
    <s v="Business"/>
    <n v="515630"/>
    <n v="752"/>
    <n v="1967539"/>
    <n v="6"/>
    <n v="24"/>
    <s v="Medical"/>
    <n v="0.19"/>
    <s v="South"/>
    <x v="3"/>
    <n v="0"/>
    <s v="Excellent"/>
    <s v="Low"/>
  </r>
  <r>
    <s v="LN0465"/>
    <d v="2023-03-16T00:00:00"/>
    <n v="63"/>
    <s v="Self-Employed"/>
    <n v="441160"/>
    <n v="684"/>
    <n v="467062"/>
    <n v="12"/>
    <n v="36"/>
    <s v="Business"/>
    <n v="0.33"/>
    <s v="North"/>
    <x v="3"/>
    <n v="1"/>
    <s v="Good"/>
    <s v="Medium"/>
  </r>
  <r>
    <s v="LN0466"/>
    <d v="2024-09-08T00:00:00"/>
    <n v="51"/>
    <s v="Salaried"/>
    <n v="739866"/>
    <n v="513"/>
    <n v="1535884"/>
    <n v="8"/>
    <n v="60"/>
    <s v="Personal"/>
    <n v="0.33"/>
    <s v="Central"/>
    <x v="0"/>
    <n v="0"/>
    <s v="Poor"/>
    <s v="Medium"/>
  </r>
  <r>
    <s v="LN0467"/>
    <d v="2023-04-08T00:00:00"/>
    <n v="30"/>
    <s v="Self-Employed"/>
    <n v="1915220"/>
    <n v="373"/>
    <n v="67867"/>
    <n v="19"/>
    <n v="60"/>
    <s v="Education"/>
    <n v="0.32"/>
    <s v="West"/>
    <x v="1"/>
    <n v="0"/>
    <s v="Poor"/>
    <s v="Medium"/>
  </r>
  <r>
    <s v="LN0468"/>
    <d v="2025-04-19T00:00:00"/>
    <n v="46"/>
    <s v="Salaried"/>
    <n v="1738020"/>
    <n v="571"/>
    <n v="1703309"/>
    <n v="6"/>
    <n v="36"/>
    <s v="Vehicle"/>
    <n v="0.21"/>
    <s v="North"/>
    <x v="3"/>
    <n v="1"/>
    <s v="Poor"/>
    <s v="Medium"/>
  </r>
  <r>
    <s v="LN0469"/>
    <d v="2023-03-30T00:00:00"/>
    <n v="32"/>
    <s v="Salaried"/>
    <n v="1574703"/>
    <n v="425"/>
    <n v="1736420"/>
    <n v="23"/>
    <n v="36"/>
    <s v="Business"/>
    <n v="0.27"/>
    <s v="East"/>
    <x v="1"/>
    <n v="0"/>
    <s v="Poor"/>
    <s v="Medium"/>
  </r>
  <r>
    <s v="LN0470"/>
    <d v="2025-11-20T00:00:00"/>
    <n v="62"/>
    <s v="Salaried"/>
    <n v="1637105"/>
    <n v="660"/>
    <n v="1232842"/>
    <n v="22"/>
    <n v="12"/>
    <s v="Personal"/>
    <n v="0.44"/>
    <s v="South"/>
    <x v="3"/>
    <n v="0"/>
    <s v="Fair"/>
    <s v="High"/>
  </r>
  <r>
    <s v="LN0471"/>
    <d v="2025-08-25T00:00:00"/>
    <n v="24"/>
    <s v="Salaried"/>
    <n v="1615487"/>
    <n v="487"/>
    <n v="1370838"/>
    <n v="9"/>
    <n v="12"/>
    <s v="Medical"/>
    <n v="0.34"/>
    <s v="Central"/>
    <x v="1"/>
    <n v="0"/>
    <s v="Poor"/>
    <s v="Medium"/>
  </r>
  <r>
    <s v="LN0472"/>
    <d v="2023-07-23T00:00:00"/>
    <n v="27"/>
    <s v="Business"/>
    <n v="1922628"/>
    <n v="558"/>
    <n v="1254318"/>
    <n v="20"/>
    <n v="24"/>
    <s v="Medical"/>
    <n v="0.51"/>
    <s v="North"/>
    <x v="1"/>
    <n v="1"/>
    <s v="Poor"/>
    <s v="High"/>
  </r>
  <r>
    <s v="LN0473"/>
    <d v="2023-04-11T00:00:00"/>
    <n v="23"/>
    <s v="Self-Employed"/>
    <n v="1305630"/>
    <n v="347"/>
    <n v="149403"/>
    <n v="16"/>
    <n v="36"/>
    <s v="Medical"/>
    <n v="0.19"/>
    <s v="Central"/>
    <x v="0"/>
    <n v="0"/>
    <s v="Poor"/>
    <s v="Low"/>
  </r>
  <r>
    <s v="LN0474"/>
    <d v="2023-09-22T00:00:00"/>
    <n v="34"/>
    <s v="Self-Employed"/>
    <n v="2378231"/>
    <n v="389"/>
    <n v="583370"/>
    <n v="7"/>
    <n v="24"/>
    <s v="Personal"/>
    <n v="0.3"/>
    <s v="Central"/>
    <x v="2"/>
    <n v="0"/>
    <s v="Poor"/>
    <s v="Medium"/>
  </r>
  <r>
    <s v="LN0475"/>
    <d v="2025-03-14T00:00:00"/>
    <n v="23"/>
    <s v="Business"/>
    <n v="1721751"/>
    <n v="746"/>
    <n v="941527"/>
    <n v="13"/>
    <n v="36"/>
    <s v="Home"/>
    <n v="0.21"/>
    <s v="Central"/>
    <x v="0"/>
    <n v="0"/>
    <s v="Excellent"/>
    <s v="Medium"/>
  </r>
  <r>
    <s v="LN0476"/>
    <d v="2023-03-08T00:00:00"/>
    <n v="28"/>
    <s v="Salaried"/>
    <n v="1685566"/>
    <n v="652"/>
    <n v="1331626"/>
    <n v="18"/>
    <n v="60"/>
    <s v="Personal"/>
    <n v="0.49"/>
    <s v="South"/>
    <x v="3"/>
    <n v="0"/>
    <s v="Fair"/>
    <s v="High"/>
  </r>
  <r>
    <s v="LN0477"/>
    <d v="2025-08-18T00:00:00"/>
    <n v="52"/>
    <s v="Salaried"/>
    <n v="432881"/>
    <n v="584"/>
    <n v="399666"/>
    <n v="6"/>
    <n v="12"/>
    <s v="Vehicle"/>
    <n v="0.5600000000000001"/>
    <s v="South"/>
    <x v="0"/>
    <n v="1"/>
    <s v="Fair"/>
    <s v="High"/>
  </r>
  <r>
    <s v="LN0478"/>
    <d v="2023-03-13T00:00:00"/>
    <n v="65"/>
    <s v="Business"/>
    <n v="821986"/>
    <n v="343"/>
    <n v="368727"/>
    <n v="18"/>
    <n v="60"/>
    <s v="Business"/>
    <n v="0.22"/>
    <s v="East"/>
    <x v="3"/>
    <n v="0"/>
    <s v="Poor"/>
    <s v="Medium"/>
  </r>
  <r>
    <s v="LN0479"/>
    <d v="2024-10-22T00:00:00"/>
    <n v="35"/>
    <s v="Business"/>
    <n v="1388911"/>
    <n v="600"/>
    <n v="713483"/>
    <n v="18"/>
    <n v="60"/>
    <s v="Personal"/>
    <n v="0.38"/>
    <s v="North"/>
    <x v="1"/>
    <n v="0"/>
    <s v="Fair"/>
    <s v="Medium"/>
  </r>
  <r>
    <s v="LN0480"/>
    <d v="2025-05-21T00:00:00"/>
    <n v="28"/>
    <s v="Self-Employed"/>
    <n v="1536879"/>
    <n v="575"/>
    <n v="1153151"/>
    <n v="13"/>
    <n v="24"/>
    <s v="Education"/>
    <n v="0.2"/>
    <s v="North"/>
    <x v="3"/>
    <n v="0"/>
    <s v="Poor"/>
    <s v="Medium"/>
  </r>
  <r>
    <s v="LN0481"/>
    <d v="2024-02-21T00:00:00"/>
    <n v="22"/>
    <s v="Salaried"/>
    <n v="922822"/>
    <n v="510"/>
    <n v="322923"/>
    <n v="24"/>
    <n v="12"/>
    <s v="Vehicle"/>
    <n v="0.18"/>
    <s v="South"/>
    <x v="3"/>
    <n v="0"/>
    <s v="Poor"/>
    <s v="Low"/>
  </r>
  <r>
    <s v="LN0482"/>
    <d v="2025-12-20T00:00:00"/>
    <n v="35"/>
    <s v="Business"/>
    <n v="1390182"/>
    <n v="685"/>
    <n v="1369782"/>
    <n v="12"/>
    <n v="12"/>
    <s v="Personal"/>
    <n v="0.24"/>
    <s v="East"/>
    <x v="1"/>
    <n v="0"/>
    <s v="Good"/>
    <s v="Medium"/>
  </r>
  <r>
    <s v="LN0483"/>
    <d v="2023-01-23T00:00:00"/>
    <n v="62"/>
    <s v="Salaried"/>
    <n v="1789818"/>
    <n v="745"/>
    <n v="573189"/>
    <n v="13"/>
    <n v="24"/>
    <s v="Medical"/>
    <n v="0.27"/>
    <s v="Central"/>
    <x v="0"/>
    <n v="0"/>
    <s v="Excellent"/>
    <s v="Medium"/>
  </r>
  <r>
    <s v="LN0484"/>
    <d v="2025-05-15T00:00:00"/>
    <n v="65"/>
    <s v="Self-Employed"/>
    <n v="1378589"/>
    <n v="623"/>
    <n v="1881809"/>
    <n v="23"/>
    <n v="24"/>
    <s v="Business"/>
    <n v="0.5600000000000001"/>
    <s v="West"/>
    <x v="0"/>
    <n v="1"/>
    <s v="Fair"/>
    <s v="High"/>
  </r>
  <r>
    <s v="LN0485"/>
    <d v="2023-11-02T00:00:00"/>
    <n v="49"/>
    <s v="Salaried"/>
    <n v="1966083"/>
    <n v="595"/>
    <n v="673505"/>
    <n v="13"/>
    <n v="12"/>
    <s v="Medical"/>
    <n v="0.11"/>
    <s v="West"/>
    <x v="3"/>
    <n v="0"/>
    <s v="Fair"/>
    <s v="Low"/>
  </r>
  <r>
    <s v="LN0486"/>
    <d v="2025-02-08T00:00:00"/>
    <n v="52"/>
    <s v="Business"/>
    <n v="2076487"/>
    <n v="776"/>
    <n v="1043915"/>
    <n v="6"/>
    <n v="24"/>
    <s v="Home"/>
    <n v="0.45"/>
    <s v="Central"/>
    <x v="3"/>
    <n v="0"/>
    <s v="Excellent"/>
    <s v="High"/>
  </r>
  <r>
    <s v="LN0487"/>
    <d v="2025-01-19T00:00:00"/>
    <n v="51"/>
    <s v="Self-Employed"/>
    <n v="1509214"/>
    <n v="842"/>
    <n v="519780"/>
    <n v="16"/>
    <n v="60"/>
    <s v="Education"/>
    <n v="0.15"/>
    <s v="North"/>
    <x v="1"/>
    <n v="1"/>
    <s v="Excellent"/>
    <s v="Low"/>
  </r>
  <r>
    <s v="LN0488"/>
    <d v="2023-07-04T00:00:00"/>
    <n v="49"/>
    <s v="Business"/>
    <n v="2249372"/>
    <n v="725"/>
    <n v="1575098"/>
    <n v="15"/>
    <n v="36"/>
    <s v="Business"/>
    <n v="0.35"/>
    <s v="South"/>
    <x v="3"/>
    <n v="0"/>
    <s v="Good"/>
    <s v="Medium"/>
  </r>
  <r>
    <s v="LN0489"/>
    <d v="2024-08-15T00:00:00"/>
    <n v="31"/>
    <s v="Salaried"/>
    <n v="2014954"/>
    <n v="448"/>
    <n v="1441769"/>
    <n v="12"/>
    <n v="60"/>
    <s v="Vehicle"/>
    <n v="0.45"/>
    <s v="Central"/>
    <x v="2"/>
    <n v="0"/>
    <s v="Poor"/>
    <s v="High"/>
  </r>
  <r>
    <s v="LN0490"/>
    <d v="2024-01-29T00:00:00"/>
    <n v="35"/>
    <s v="Salaried"/>
    <n v="1774730"/>
    <n v="313"/>
    <n v="888101"/>
    <n v="9"/>
    <n v="36"/>
    <s v="Business"/>
    <n v="0.33"/>
    <s v="Central"/>
    <x v="3"/>
    <n v="0"/>
    <s v="Poor"/>
    <s v="Medium"/>
  </r>
  <r>
    <s v="LN0491"/>
    <d v="2025-07-31T00:00:00"/>
    <n v="24"/>
    <s v="Self-Employed"/>
    <n v="2207982"/>
    <n v="781"/>
    <n v="776969"/>
    <n v="17"/>
    <n v="24"/>
    <s v="Vehicle"/>
    <n v="0.5"/>
    <s v="West"/>
    <x v="2"/>
    <n v="0"/>
    <s v="Excellent"/>
    <s v="High"/>
  </r>
  <r>
    <s v="LN0492"/>
    <d v="2025-11-24T00:00:00"/>
    <n v="45"/>
    <s v="Self-Employed"/>
    <n v="459148"/>
    <n v="402"/>
    <n v="314264"/>
    <n v="9"/>
    <n v="24"/>
    <s v="Medical"/>
    <n v="0.59"/>
    <s v="East"/>
    <x v="2"/>
    <n v="1"/>
    <s v="Poor"/>
    <s v="High"/>
  </r>
  <r>
    <s v="LN0493"/>
    <d v="2024-07-20T00:00:00"/>
    <n v="28"/>
    <s v="Salaried"/>
    <n v="1028510"/>
    <n v="818"/>
    <n v="1413558"/>
    <n v="18"/>
    <n v="12"/>
    <s v="Medical"/>
    <n v="0.24"/>
    <s v="Central"/>
    <x v="1"/>
    <n v="0"/>
    <s v="Excellent"/>
    <s v="Medium"/>
  </r>
  <r>
    <s v="LN0494"/>
    <d v="2025-05-10T00:00:00"/>
    <n v="28"/>
    <s v="Self-Employed"/>
    <n v="2050965"/>
    <n v="689"/>
    <n v="125794"/>
    <n v="9"/>
    <n v="12"/>
    <s v="Vehicle"/>
    <n v="0.55"/>
    <s v="West"/>
    <x v="0"/>
    <n v="0"/>
    <s v="Good"/>
    <s v="High"/>
  </r>
  <r>
    <s v="LN0495"/>
    <d v="2025-06-03T00:00:00"/>
    <n v="38"/>
    <s v="Business"/>
    <n v="526907"/>
    <n v="386"/>
    <n v="1835380"/>
    <n v="14"/>
    <n v="36"/>
    <s v="Business"/>
    <n v="0.24"/>
    <s v="North"/>
    <x v="0"/>
    <n v="1"/>
    <s v="Poor"/>
    <s v="Medium"/>
  </r>
  <r>
    <s v="LN0496"/>
    <d v="2023-12-10T00:00:00"/>
    <n v="42"/>
    <s v="Salaried"/>
    <n v="1174410"/>
    <n v="611"/>
    <n v="1643070"/>
    <n v="14"/>
    <n v="36"/>
    <s v="Vehicle"/>
    <n v="0.31"/>
    <s v="Central"/>
    <x v="3"/>
    <n v="0"/>
    <s v="Fair"/>
    <s v="Medium"/>
  </r>
  <r>
    <s v="LN0497"/>
    <d v="2023-02-24T00:00:00"/>
    <n v="21"/>
    <s v="Salaried"/>
    <n v="640803"/>
    <n v="596"/>
    <n v="151485"/>
    <n v="9"/>
    <n v="24"/>
    <s v="Home"/>
    <n v="0.48"/>
    <s v="South"/>
    <x v="3"/>
    <n v="0"/>
    <s v="Fair"/>
    <s v="High"/>
  </r>
  <r>
    <s v="LN0498"/>
    <d v="2023-11-30T00:00:00"/>
    <n v="61"/>
    <s v="Self-Employed"/>
    <n v="1752328"/>
    <n v="717"/>
    <n v="1603292"/>
    <n v="14"/>
    <n v="24"/>
    <s v="Business"/>
    <n v="0.34"/>
    <s v="East"/>
    <x v="0"/>
    <n v="0"/>
    <s v="Good"/>
    <s v="Medium"/>
  </r>
  <r>
    <s v="LN0499"/>
    <d v="2025-12-01T00:00:00"/>
    <n v="33"/>
    <s v="Business"/>
    <n v="687250"/>
    <n v="495"/>
    <n v="594985"/>
    <n v="17"/>
    <n v="36"/>
    <s v="Education"/>
    <n v="0.36"/>
    <s v="West"/>
    <x v="1"/>
    <n v="0"/>
    <s v="Poor"/>
    <s v="Medium"/>
  </r>
  <r>
    <s v="LN0500"/>
    <d v="2025-05-04T00:00:00"/>
    <n v="54"/>
    <s v="Self-Employed"/>
    <n v="1260831"/>
    <n v="447"/>
    <n v="351589"/>
    <n v="7"/>
    <n v="12"/>
    <s v="Vehicle"/>
    <n v="0.31"/>
    <s v="North"/>
    <x v="3"/>
    <n v="1"/>
    <s v="Poor"/>
    <s v="Medium"/>
  </r>
</pivotCacheRecords>
</file>

<file path=xl/pivotCache/pivotCacheRecords2.xml><?xml version="1.0" encoding="utf-8"?>
<pivotCacheRecords xmlns="http://schemas.openxmlformats.org/spreadsheetml/2006/main" count="500">
  <r>
    <s v="LN0001"/>
    <d v="2023-11-17T00:00:00"/>
    <n v="65"/>
    <s v="Salaried"/>
    <n v="1459358"/>
    <n v="434"/>
    <n v="1730164"/>
    <n v="9"/>
    <n v="24"/>
    <s v="Education"/>
    <n v="0.22"/>
    <s v="North"/>
    <x v="0"/>
    <n v="0"/>
    <s v="Poor"/>
    <s v="Medium"/>
  </r>
  <r>
    <s v="LN0002"/>
    <d v="2025-07-30T00:00:00"/>
    <n v="27"/>
    <s v="Salaried"/>
    <n v="1383991"/>
    <n v="315"/>
    <n v="1604874"/>
    <n v="21"/>
    <n v="60"/>
    <s v="Personal"/>
    <n v="0.39"/>
    <s v="Central"/>
    <x v="1"/>
    <n v="1"/>
    <s v="Poor"/>
    <s v="Medium"/>
  </r>
  <r>
    <s v="LN0003"/>
    <d v="2024-08-02T00:00:00"/>
    <n v="64"/>
    <s v="Business"/>
    <n v="979635"/>
    <n v="786"/>
    <n v="1096480"/>
    <n v="7"/>
    <n v="60"/>
    <s v="Home"/>
    <n v="0.12"/>
    <s v="West"/>
    <x v="1"/>
    <n v="0"/>
    <s v="Excellent"/>
    <s v="Low"/>
  </r>
  <r>
    <s v="LN0004"/>
    <d v="2023-12-20T00:00:00"/>
    <n v="65"/>
    <s v="Salaried"/>
    <n v="1482614"/>
    <n v="580"/>
    <n v="218134"/>
    <n v="17"/>
    <n v="12"/>
    <s v="Business"/>
    <n v="0.36"/>
    <s v="West"/>
    <x v="2"/>
    <n v="0"/>
    <s v="Fair"/>
    <s v="Medium"/>
  </r>
  <r>
    <s v="LN0005"/>
    <d v="2024-02-01T00:00:00"/>
    <n v="65"/>
    <s v="Self-Employed"/>
    <n v="2227831"/>
    <n v="315"/>
    <n v="1396820"/>
    <n v="12"/>
    <n v="24"/>
    <s v="Vehicle"/>
    <n v="0.48"/>
    <s v="North"/>
    <x v="1"/>
    <n v="0"/>
    <s v="Poor"/>
    <s v="High"/>
  </r>
  <r>
    <s v="LN0006"/>
    <d v="2024-01-31T00:00:00"/>
    <n v="57"/>
    <s v="Business"/>
    <n v="1312014"/>
    <n v="694"/>
    <n v="736968"/>
    <n v="23"/>
    <n v="36"/>
    <s v="Personal"/>
    <n v="0.53"/>
    <s v="East"/>
    <x v="1"/>
    <n v="0"/>
    <s v="Good"/>
    <s v="High"/>
  </r>
  <r>
    <s v="LN0007"/>
    <d v="2024-01-02T00:00:00"/>
    <n v="50"/>
    <s v="Salaried"/>
    <n v="1584239"/>
    <n v="806"/>
    <n v="1432594"/>
    <n v="18"/>
    <n v="36"/>
    <s v="Vehicle"/>
    <n v="0.5600000000000001"/>
    <s v="North"/>
    <x v="2"/>
    <n v="0"/>
    <s v="Excellent"/>
    <s v="High"/>
  </r>
  <r>
    <s v="LN0008"/>
    <d v="2024-09-06T00:00:00"/>
    <n v="37"/>
    <s v="Business"/>
    <n v="799794"/>
    <n v="824"/>
    <n v="464708"/>
    <n v="14"/>
    <n v="24"/>
    <s v="Education"/>
    <n v="0.28"/>
    <s v="North"/>
    <x v="0"/>
    <n v="0"/>
    <s v="Excellent"/>
    <s v="Medium"/>
  </r>
  <r>
    <s v="LN0009"/>
    <d v="2025-12-07T00:00:00"/>
    <n v="39"/>
    <s v="Business"/>
    <n v="2170628"/>
    <n v="440"/>
    <n v="1455451"/>
    <n v="16"/>
    <n v="12"/>
    <s v="Vehicle"/>
    <n v="0.58"/>
    <s v="East"/>
    <x v="1"/>
    <n v="1"/>
    <s v="Poor"/>
    <s v="High"/>
  </r>
  <r>
    <s v="LN0010"/>
    <d v="2024-10-20T00:00:00"/>
    <n v="47"/>
    <s v="Business"/>
    <n v="1992137"/>
    <n v="763"/>
    <n v="894268"/>
    <n v="17"/>
    <n v="36"/>
    <s v="Medical"/>
    <n v="0.37"/>
    <s v="West"/>
    <x v="2"/>
    <n v="1"/>
    <s v="Excellent"/>
    <s v="Medium"/>
  </r>
  <r>
    <s v="LN0011"/>
    <d v="2023-01-17T00:00:00"/>
    <n v="51"/>
    <s v="Salaried"/>
    <n v="737473"/>
    <n v="693"/>
    <n v="330315"/>
    <n v="16"/>
    <n v="36"/>
    <s v="Personal"/>
    <n v="0.52"/>
    <s v="Central"/>
    <x v="0"/>
    <n v="0"/>
    <s v="Good"/>
    <s v="High"/>
  </r>
  <r>
    <s v="LN0012"/>
    <d v="2024-03-24T00:00:00"/>
    <n v="35"/>
    <s v="Business"/>
    <n v="1725813"/>
    <n v="798"/>
    <n v="1922714"/>
    <n v="14"/>
    <n v="24"/>
    <s v="Business"/>
    <n v="0.54"/>
    <s v="South"/>
    <x v="0"/>
    <n v="0"/>
    <s v="Excellent"/>
    <s v="High"/>
  </r>
  <r>
    <s v="LN0013"/>
    <d v="2025-11-19T00:00:00"/>
    <n v="46"/>
    <s v="Self-Employed"/>
    <n v="1258993"/>
    <n v="372"/>
    <n v="975336"/>
    <n v="22"/>
    <n v="60"/>
    <s v="Business"/>
    <n v="0.14"/>
    <s v="East"/>
    <x v="3"/>
    <n v="0"/>
    <s v="Poor"/>
    <s v="Low"/>
  </r>
  <r>
    <s v="LN0014"/>
    <d v="2025-01-18T00:00:00"/>
    <n v="33"/>
    <s v="Business"/>
    <n v="1472140"/>
    <n v="411"/>
    <n v="525635"/>
    <n v="23"/>
    <n v="24"/>
    <s v="Vehicle"/>
    <n v="0.14"/>
    <s v="East"/>
    <x v="1"/>
    <n v="0"/>
    <s v="Poor"/>
    <s v="Low"/>
  </r>
  <r>
    <s v="LN0015"/>
    <d v="2024-11-12T00:00:00"/>
    <n v="33"/>
    <s v="Business"/>
    <n v="1248515"/>
    <n v="533"/>
    <n v="1277968"/>
    <n v="23"/>
    <n v="36"/>
    <s v="Personal"/>
    <n v="0.2"/>
    <s v="Central"/>
    <x v="1"/>
    <n v="0"/>
    <s v="Poor"/>
    <s v="Medium"/>
  </r>
  <r>
    <s v="LN0016"/>
    <d v="2023-12-05T00:00:00"/>
    <n v="31"/>
    <s v="Self-Employed"/>
    <n v="1873457"/>
    <n v="471"/>
    <n v="340416"/>
    <n v="12"/>
    <n v="36"/>
    <s v="Education"/>
    <n v="0.13"/>
    <s v="West"/>
    <x v="2"/>
    <n v="0"/>
    <s v="Poor"/>
    <s v="Low"/>
  </r>
  <r>
    <s v="LN0017"/>
    <d v="2025-11-19T00:00:00"/>
    <n v="56"/>
    <s v="Salaried"/>
    <n v="456283"/>
    <n v="761"/>
    <n v="1450418"/>
    <n v="17"/>
    <n v="60"/>
    <s v="Home"/>
    <n v="0.25"/>
    <s v="West"/>
    <x v="2"/>
    <n v="0"/>
    <s v="Excellent"/>
    <s v="Medium"/>
  </r>
  <r>
    <s v="LN0018"/>
    <d v="2023-09-13T00:00:00"/>
    <n v="39"/>
    <s v="Self-Employed"/>
    <n v="477960"/>
    <n v="353"/>
    <n v="1996582"/>
    <n v="10"/>
    <n v="36"/>
    <s v="Business"/>
    <n v="0.12"/>
    <s v="North"/>
    <x v="3"/>
    <n v="1"/>
    <s v="Poor"/>
    <s v="Low"/>
  </r>
  <r>
    <s v="LN0019"/>
    <d v="2023-01-25T00:00:00"/>
    <n v="27"/>
    <s v="Salaried"/>
    <n v="1484839"/>
    <n v="792"/>
    <n v="1369952"/>
    <n v="18"/>
    <n v="36"/>
    <s v="Home"/>
    <n v="0.47"/>
    <s v="North"/>
    <x v="1"/>
    <n v="0"/>
    <s v="Excellent"/>
    <s v="High"/>
  </r>
  <r>
    <s v="LN0020"/>
    <d v="2025-04-03T00:00:00"/>
    <n v="56"/>
    <s v="Salaried"/>
    <n v="1878455"/>
    <n v="553"/>
    <n v="664554"/>
    <n v="10"/>
    <n v="36"/>
    <s v="Medical"/>
    <n v="0.52"/>
    <s v="East"/>
    <x v="1"/>
    <n v="1"/>
    <s v="Poor"/>
    <s v="High"/>
  </r>
  <r>
    <s v="LN0021"/>
    <d v="2024-08-22T00:00:00"/>
    <n v="49"/>
    <s v="Salaried"/>
    <n v="1491070"/>
    <n v="792"/>
    <n v="1157252"/>
    <n v="12"/>
    <n v="24"/>
    <s v="Home"/>
    <n v="0.29"/>
    <s v="East"/>
    <x v="0"/>
    <n v="1"/>
    <s v="Excellent"/>
    <s v="Medium"/>
  </r>
  <r>
    <s v="LN0022"/>
    <d v="2024-02-19T00:00:00"/>
    <n v="48"/>
    <s v="Self-Employed"/>
    <n v="2065103"/>
    <n v="323"/>
    <n v="218127"/>
    <n v="18"/>
    <n v="36"/>
    <s v="Education"/>
    <n v="0.38"/>
    <s v="East"/>
    <x v="3"/>
    <n v="1"/>
    <s v="Poor"/>
    <s v="Medium"/>
  </r>
  <r>
    <s v="LN0023"/>
    <d v="2024-08-23T00:00:00"/>
    <n v="44"/>
    <s v="Salaried"/>
    <n v="364911"/>
    <n v="577"/>
    <n v="1011217"/>
    <n v="12"/>
    <n v="36"/>
    <s v="Business"/>
    <n v="0.28"/>
    <s v="West"/>
    <x v="3"/>
    <n v="0"/>
    <s v="Poor"/>
    <s v="Medium"/>
  </r>
  <r>
    <s v="LN0024"/>
    <d v="2023-11-29T00:00:00"/>
    <n v="25"/>
    <s v="Salaried"/>
    <n v="2258909"/>
    <n v="559"/>
    <n v="324813"/>
    <n v="14"/>
    <n v="12"/>
    <s v="Medical"/>
    <n v="0.4"/>
    <s v="West"/>
    <x v="2"/>
    <n v="0"/>
    <s v="Poor"/>
    <s v="High"/>
  </r>
  <r>
    <s v="LN0025"/>
    <d v="2025-02-04T00:00:00"/>
    <n v="56"/>
    <s v="Business"/>
    <n v="1361208"/>
    <n v="349"/>
    <n v="161238"/>
    <n v="13"/>
    <n v="24"/>
    <s v="Education"/>
    <n v="0.48"/>
    <s v="West"/>
    <x v="0"/>
    <n v="1"/>
    <s v="Poor"/>
    <s v="High"/>
  </r>
  <r>
    <s v="LN0026"/>
    <d v="2025-08-24T00:00:00"/>
    <n v="47"/>
    <s v="Salaried"/>
    <n v="1116062"/>
    <n v="753"/>
    <n v="1962476"/>
    <n v="21"/>
    <n v="12"/>
    <s v="Home"/>
    <n v="0.24"/>
    <s v="North"/>
    <x v="2"/>
    <n v="0"/>
    <s v="Excellent"/>
    <s v="Medium"/>
  </r>
  <r>
    <s v="LN0027"/>
    <d v="2024-03-03T00:00:00"/>
    <n v="51"/>
    <s v="Salaried"/>
    <n v="253723"/>
    <n v="729"/>
    <n v="1239008"/>
    <n v="6"/>
    <n v="24"/>
    <s v="Business"/>
    <n v="0.6"/>
    <s v="South"/>
    <x v="0"/>
    <n v="0"/>
    <s v="Good"/>
    <s v="High"/>
  </r>
  <r>
    <s v="LN0028"/>
    <d v="2025-01-27T00:00:00"/>
    <n v="50"/>
    <s v="Self-Employed"/>
    <n v="326097"/>
    <n v="522"/>
    <n v="1438589"/>
    <n v="23"/>
    <n v="60"/>
    <s v="Business"/>
    <n v="0.43"/>
    <s v="East"/>
    <x v="1"/>
    <n v="0"/>
    <s v="Poor"/>
    <s v="High"/>
  </r>
  <r>
    <s v="LN0029"/>
    <d v="2023-04-10T00:00:00"/>
    <n v="50"/>
    <s v="Business"/>
    <n v="1220643"/>
    <n v="772"/>
    <n v="1842554"/>
    <n v="17"/>
    <n v="12"/>
    <s v="Medical"/>
    <n v="0.18"/>
    <s v="South"/>
    <x v="3"/>
    <n v="0"/>
    <s v="Excellent"/>
    <s v="Low"/>
  </r>
  <r>
    <s v="LN0030"/>
    <d v="2025-04-23T00:00:00"/>
    <n v="28"/>
    <s v="Business"/>
    <n v="1206971"/>
    <n v="409"/>
    <n v="1507135"/>
    <n v="18"/>
    <n v="60"/>
    <s v="Education"/>
    <n v="0.46"/>
    <s v="North"/>
    <x v="1"/>
    <n v="1"/>
    <s v="Poor"/>
    <s v="High"/>
  </r>
  <r>
    <s v="LN0031"/>
    <d v="2024-05-20T00:00:00"/>
    <n v="30"/>
    <s v="Self-Employed"/>
    <n v="1491836"/>
    <n v="622"/>
    <n v="1909520"/>
    <n v="24"/>
    <n v="60"/>
    <s v="Medical"/>
    <n v="0.24"/>
    <s v="North"/>
    <x v="0"/>
    <n v="0"/>
    <s v="Fair"/>
    <s v="Medium"/>
  </r>
  <r>
    <s v="LN0032"/>
    <d v="2024-10-18T00:00:00"/>
    <n v="50"/>
    <s v="Business"/>
    <n v="1032689"/>
    <n v="610"/>
    <n v="736636"/>
    <n v="12"/>
    <n v="24"/>
    <s v="Vehicle"/>
    <n v="0.6"/>
    <s v="West"/>
    <x v="1"/>
    <n v="0"/>
    <s v="Fair"/>
    <s v="High"/>
  </r>
  <r>
    <s v="LN0033"/>
    <d v="2023-12-11T00:00:00"/>
    <n v="47"/>
    <s v="Business"/>
    <n v="1336181"/>
    <n v="416"/>
    <n v="90382"/>
    <n v="18"/>
    <n v="24"/>
    <s v="Home"/>
    <n v="0.24"/>
    <s v="South"/>
    <x v="2"/>
    <n v="0"/>
    <s v="Poor"/>
    <s v="Medium"/>
  </r>
  <r>
    <s v="LN0034"/>
    <d v="2023-08-28T00:00:00"/>
    <n v="41"/>
    <s v="Salaried"/>
    <n v="1316587"/>
    <n v="477"/>
    <n v="1415483"/>
    <n v="23"/>
    <n v="12"/>
    <s v="Education"/>
    <n v="0.19"/>
    <s v="South"/>
    <x v="0"/>
    <n v="0"/>
    <s v="Poor"/>
    <s v="Low"/>
  </r>
  <r>
    <s v="LN0035"/>
    <d v="2024-03-01T00:00:00"/>
    <n v="49"/>
    <s v="Salaried"/>
    <n v="1760749"/>
    <n v="507"/>
    <n v="1274605"/>
    <n v="16"/>
    <n v="60"/>
    <s v="Personal"/>
    <n v="0.51"/>
    <s v="South"/>
    <x v="2"/>
    <n v="1"/>
    <s v="Poor"/>
    <s v="High"/>
  </r>
  <r>
    <s v="LN0036"/>
    <d v="2023-08-13T00:00:00"/>
    <n v="52"/>
    <s v="Salaried"/>
    <n v="493840"/>
    <n v="713"/>
    <n v="1427495"/>
    <n v="16"/>
    <n v="60"/>
    <s v="Business"/>
    <n v="0.21"/>
    <s v="West"/>
    <x v="3"/>
    <n v="0"/>
    <s v="Good"/>
    <s v="Medium"/>
  </r>
  <r>
    <s v="LN0037"/>
    <d v="2025-07-31T00:00:00"/>
    <n v="64"/>
    <s v="Self-Employed"/>
    <n v="1763996"/>
    <n v="801"/>
    <n v="1160778"/>
    <n v="18"/>
    <n v="60"/>
    <s v="Medical"/>
    <n v="0.36"/>
    <s v="West"/>
    <x v="2"/>
    <n v="0"/>
    <s v="Excellent"/>
    <s v="Medium"/>
  </r>
  <r>
    <s v="LN0038"/>
    <d v="2024-06-30T00:00:00"/>
    <n v="43"/>
    <s v="Business"/>
    <n v="260952"/>
    <n v="558"/>
    <n v="788392"/>
    <n v="20"/>
    <n v="60"/>
    <s v="Personal"/>
    <n v="0.46"/>
    <s v="South"/>
    <x v="2"/>
    <n v="1"/>
    <s v="Poor"/>
    <s v="High"/>
  </r>
  <r>
    <s v="LN0039"/>
    <d v="2023-11-11T00:00:00"/>
    <n v="61"/>
    <s v="Business"/>
    <n v="481375"/>
    <n v="448"/>
    <n v="1834042"/>
    <n v="21"/>
    <n v="24"/>
    <s v="Medical"/>
    <n v="0.31"/>
    <s v="South"/>
    <x v="3"/>
    <n v="0"/>
    <s v="Poor"/>
    <s v="Medium"/>
  </r>
  <r>
    <s v="LN0040"/>
    <d v="2025-12-14T00:00:00"/>
    <n v="62"/>
    <s v="Business"/>
    <n v="1976376"/>
    <n v="524"/>
    <n v="1726251"/>
    <n v="14"/>
    <n v="12"/>
    <s v="Vehicle"/>
    <n v="0.29"/>
    <s v="West"/>
    <x v="2"/>
    <n v="0"/>
    <s v="Poor"/>
    <s v="Medium"/>
  </r>
  <r>
    <s v="LN0041"/>
    <d v="2024-12-04T00:00:00"/>
    <n v="64"/>
    <s v="Business"/>
    <n v="1400119"/>
    <n v="460"/>
    <n v="1045880"/>
    <n v="24"/>
    <n v="12"/>
    <s v="Personal"/>
    <n v="0.49"/>
    <s v="South"/>
    <x v="0"/>
    <n v="1"/>
    <s v="Poor"/>
    <s v="High"/>
  </r>
  <r>
    <s v="LN0042"/>
    <d v="2024-10-24T00:00:00"/>
    <n v="39"/>
    <s v="Self-Employed"/>
    <n v="656641"/>
    <n v="604"/>
    <n v="1643535"/>
    <n v="20"/>
    <n v="12"/>
    <s v="Business"/>
    <n v="0.49"/>
    <s v="West"/>
    <x v="0"/>
    <n v="1"/>
    <s v="Fair"/>
    <s v="High"/>
  </r>
  <r>
    <s v="LN0043"/>
    <d v="2023-09-24T00:00:00"/>
    <n v="43"/>
    <s v="Self-Employed"/>
    <n v="969411"/>
    <n v="765"/>
    <n v="719191"/>
    <n v="21"/>
    <n v="12"/>
    <s v="Education"/>
    <n v="0.4"/>
    <s v="East"/>
    <x v="1"/>
    <n v="0"/>
    <s v="Excellent"/>
    <s v="High"/>
  </r>
  <r>
    <s v="LN0044"/>
    <d v="2025-02-07T00:00:00"/>
    <n v="32"/>
    <s v="Salaried"/>
    <n v="385232"/>
    <n v="456"/>
    <n v="1237080"/>
    <n v="9"/>
    <n v="60"/>
    <s v="Personal"/>
    <n v="0.31"/>
    <s v="Central"/>
    <x v="0"/>
    <n v="0"/>
    <s v="Poor"/>
    <s v="Medium"/>
  </r>
  <r>
    <s v="LN0045"/>
    <d v="2025-07-18T00:00:00"/>
    <n v="46"/>
    <s v="Business"/>
    <n v="926982"/>
    <n v="758"/>
    <n v="159294"/>
    <n v="21"/>
    <n v="60"/>
    <s v="Business"/>
    <n v="0.12"/>
    <s v="South"/>
    <x v="1"/>
    <n v="1"/>
    <s v="Excellent"/>
    <s v="Low"/>
  </r>
  <r>
    <s v="LN0046"/>
    <d v="2023-08-18T00:00:00"/>
    <n v="59"/>
    <s v="Business"/>
    <n v="2229019"/>
    <n v="663"/>
    <n v="52958"/>
    <n v="21"/>
    <n v="24"/>
    <s v="Medical"/>
    <n v="0.22"/>
    <s v="Central"/>
    <x v="3"/>
    <n v="0"/>
    <s v="Fair"/>
    <s v="Medium"/>
  </r>
  <r>
    <s v="LN0047"/>
    <d v="2023-06-18T00:00:00"/>
    <n v="56"/>
    <s v="Salaried"/>
    <n v="1356645"/>
    <n v="605"/>
    <n v="139744"/>
    <n v="23"/>
    <n v="36"/>
    <s v="Education"/>
    <n v="0.25"/>
    <s v="North"/>
    <x v="3"/>
    <n v="0"/>
    <s v="Fair"/>
    <s v="Medium"/>
  </r>
  <r>
    <s v="LN0048"/>
    <d v="2024-06-29T00:00:00"/>
    <n v="29"/>
    <s v="Self-Employed"/>
    <n v="2245099"/>
    <n v="785"/>
    <n v="1593062"/>
    <n v="18"/>
    <n v="24"/>
    <s v="Business"/>
    <n v="0.28"/>
    <s v="South"/>
    <x v="0"/>
    <n v="0"/>
    <s v="Excellent"/>
    <s v="Medium"/>
  </r>
  <r>
    <s v="LN0049"/>
    <d v="2023-09-09T00:00:00"/>
    <n v="30"/>
    <s v="Self-Employed"/>
    <n v="1983798"/>
    <n v="661"/>
    <n v="1186485"/>
    <n v="7"/>
    <n v="60"/>
    <s v="Business"/>
    <n v="0.14"/>
    <s v="North"/>
    <x v="1"/>
    <n v="0"/>
    <s v="Fair"/>
    <s v="Low"/>
  </r>
  <r>
    <s v="LN0050"/>
    <d v="2024-01-06T00:00:00"/>
    <n v="59"/>
    <s v="Business"/>
    <n v="670072"/>
    <n v="390"/>
    <n v="757190"/>
    <n v="14"/>
    <n v="36"/>
    <s v="Personal"/>
    <n v="0.43"/>
    <s v="Central"/>
    <x v="0"/>
    <n v="0"/>
    <s v="Poor"/>
    <s v="High"/>
  </r>
  <r>
    <s v="LN0051"/>
    <d v="2023-02-15T00:00:00"/>
    <n v="59"/>
    <s v="Self-Employed"/>
    <n v="1989300"/>
    <n v="441"/>
    <n v="1980222"/>
    <n v="11"/>
    <n v="24"/>
    <s v="Home"/>
    <n v="0.18"/>
    <s v="West"/>
    <x v="2"/>
    <n v="1"/>
    <s v="Poor"/>
    <s v="Low"/>
  </r>
  <r>
    <s v="LN0052"/>
    <d v="2025-07-27T00:00:00"/>
    <n v="30"/>
    <s v="Self-Employed"/>
    <n v="1245221"/>
    <n v="556"/>
    <n v="430296"/>
    <n v="22"/>
    <n v="60"/>
    <s v="Education"/>
    <n v="0.48"/>
    <s v="North"/>
    <x v="1"/>
    <n v="1"/>
    <s v="Poor"/>
    <s v="High"/>
  </r>
  <r>
    <s v="LN0053"/>
    <d v="2023-10-08T00:00:00"/>
    <n v="51"/>
    <s v="Salaried"/>
    <n v="2302674"/>
    <n v="397"/>
    <n v="472542"/>
    <n v="14"/>
    <n v="36"/>
    <s v="Vehicle"/>
    <n v="0.45"/>
    <s v="North"/>
    <x v="3"/>
    <n v="0"/>
    <s v="Poor"/>
    <s v="High"/>
  </r>
  <r>
    <s v="LN0054"/>
    <d v="2025-06-04T00:00:00"/>
    <n v="49"/>
    <s v="Salaried"/>
    <n v="399718"/>
    <n v="328"/>
    <n v="1622272"/>
    <n v="21"/>
    <n v="36"/>
    <s v="Business"/>
    <n v="0.57"/>
    <s v="Central"/>
    <x v="0"/>
    <n v="1"/>
    <s v="Poor"/>
    <s v="High"/>
  </r>
  <r>
    <s v="LN0055"/>
    <d v="2024-05-09T00:00:00"/>
    <n v="31"/>
    <s v="Business"/>
    <n v="1914894"/>
    <n v="508"/>
    <n v="1796632"/>
    <n v="16"/>
    <n v="36"/>
    <s v="Business"/>
    <n v="0.28"/>
    <s v="South"/>
    <x v="0"/>
    <n v="0"/>
    <s v="Poor"/>
    <s v="Medium"/>
  </r>
  <r>
    <s v="LN0056"/>
    <d v="2024-10-11T00:00:00"/>
    <n v="44"/>
    <s v="Business"/>
    <n v="493790"/>
    <n v="494"/>
    <n v="401426"/>
    <n v="24"/>
    <n v="36"/>
    <s v="Home"/>
    <n v="0.36"/>
    <s v="East"/>
    <x v="0"/>
    <n v="0"/>
    <s v="Poor"/>
    <s v="Medium"/>
  </r>
  <r>
    <s v="LN0057"/>
    <d v="2024-06-22T00:00:00"/>
    <n v="59"/>
    <s v="Business"/>
    <n v="976606"/>
    <n v="360"/>
    <n v="525007"/>
    <n v="10"/>
    <n v="12"/>
    <s v="Medical"/>
    <n v="0.34"/>
    <s v="North"/>
    <x v="2"/>
    <n v="0"/>
    <s v="Poor"/>
    <s v="Medium"/>
  </r>
  <r>
    <s v="LN0058"/>
    <d v="2023-01-10T00:00:00"/>
    <n v="41"/>
    <s v="Self-Employed"/>
    <n v="1880167"/>
    <n v="311"/>
    <n v="1964154"/>
    <n v="19"/>
    <n v="12"/>
    <s v="Medical"/>
    <n v="0.46"/>
    <s v="East"/>
    <x v="2"/>
    <n v="1"/>
    <s v="Poor"/>
    <s v="High"/>
  </r>
  <r>
    <s v="LN0059"/>
    <d v="2023-02-04T00:00:00"/>
    <n v="51"/>
    <s v="Business"/>
    <n v="1770190"/>
    <n v="522"/>
    <n v="248192"/>
    <n v="17"/>
    <n v="12"/>
    <s v="Medical"/>
    <n v="0.43"/>
    <s v="West"/>
    <x v="2"/>
    <n v="0"/>
    <s v="Poor"/>
    <s v="High"/>
  </r>
  <r>
    <s v="LN0060"/>
    <d v="2024-06-07T00:00:00"/>
    <n v="40"/>
    <s v="Business"/>
    <n v="1378694"/>
    <n v="545"/>
    <n v="153283"/>
    <n v="22"/>
    <n v="24"/>
    <s v="Personal"/>
    <n v="0.17"/>
    <s v="East"/>
    <x v="0"/>
    <n v="0"/>
    <s v="Poor"/>
    <s v="Low"/>
  </r>
  <r>
    <s v="LN0061"/>
    <d v="2025-11-29T00:00:00"/>
    <n v="51"/>
    <s v="Salaried"/>
    <n v="2020665"/>
    <n v="358"/>
    <n v="1009337"/>
    <n v="16"/>
    <n v="60"/>
    <s v="Business"/>
    <n v="0.21"/>
    <s v="East"/>
    <x v="3"/>
    <n v="0"/>
    <s v="Poor"/>
    <s v="Medium"/>
  </r>
  <r>
    <s v="LN0062"/>
    <d v="2025-12-11T00:00:00"/>
    <n v="26"/>
    <s v="Salaried"/>
    <n v="1505240"/>
    <n v="334"/>
    <n v="154990"/>
    <n v="18"/>
    <n v="36"/>
    <s v="Vehicle"/>
    <n v="0.43"/>
    <s v="Central"/>
    <x v="3"/>
    <n v="0"/>
    <s v="Poor"/>
    <s v="High"/>
  </r>
  <r>
    <s v="LN0063"/>
    <d v="2023-09-18T00:00:00"/>
    <n v="21"/>
    <s v="Business"/>
    <n v="286253"/>
    <n v="655"/>
    <n v="501091"/>
    <n v="11"/>
    <n v="60"/>
    <s v="Business"/>
    <n v="0.43"/>
    <s v="South"/>
    <x v="2"/>
    <n v="0"/>
    <s v="Fair"/>
    <s v="High"/>
  </r>
  <r>
    <s v="LN0064"/>
    <d v="2024-12-30T00:00:00"/>
    <n v="59"/>
    <s v="Salaried"/>
    <n v="1409519"/>
    <n v="375"/>
    <n v="1024802"/>
    <n v="21"/>
    <n v="24"/>
    <s v="Vehicle"/>
    <n v="0.2"/>
    <s v="East"/>
    <x v="2"/>
    <n v="0"/>
    <s v="Poor"/>
    <s v="Medium"/>
  </r>
  <r>
    <s v="LN0065"/>
    <d v="2025-12-13T00:00:00"/>
    <n v="60"/>
    <s v="Self-Employed"/>
    <n v="952274"/>
    <n v="522"/>
    <n v="873673"/>
    <n v="6"/>
    <n v="60"/>
    <s v="Business"/>
    <n v="0.17"/>
    <s v="East"/>
    <x v="0"/>
    <n v="0"/>
    <s v="Poor"/>
    <s v="Low"/>
  </r>
  <r>
    <s v="LN0066"/>
    <d v="2023-02-26T00:00:00"/>
    <n v="51"/>
    <s v="Salaried"/>
    <n v="434805"/>
    <n v="819"/>
    <n v="847670"/>
    <n v="16"/>
    <n v="36"/>
    <s v="Home"/>
    <n v="0.15"/>
    <s v="East"/>
    <x v="0"/>
    <n v="0"/>
    <s v="Excellent"/>
    <s v="Low"/>
  </r>
  <r>
    <s v="LN0067"/>
    <d v="2023-05-22T00:00:00"/>
    <n v="61"/>
    <s v="Business"/>
    <n v="445108"/>
    <n v="634"/>
    <n v="198814"/>
    <n v="15"/>
    <n v="60"/>
    <s v="Business"/>
    <n v="0.43"/>
    <s v="East"/>
    <x v="1"/>
    <n v="0"/>
    <s v="Fair"/>
    <s v="High"/>
  </r>
  <r>
    <s v="LN0068"/>
    <d v="2024-03-10T00:00:00"/>
    <n v="21"/>
    <s v="Business"/>
    <n v="1482456"/>
    <n v="458"/>
    <n v="978840"/>
    <n v="13"/>
    <n v="60"/>
    <s v="Education"/>
    <n v="0.28"/>
    <s v="East"/>
    <x v="1"/>
    <n v="0"/>
    <s v="Poor"/>
    <s v="Medium"/>
  </r>
  <r>
    <s v="LN0069"/>
    <d v="2024-04-15T00:00:00"/>
    <n v="22"/>
    <s v="Business"/>
    <n v="1507106"/>
    <n v="314"/>
    <n v="1535126"/>
    <n v="6"/>
    <n v="24"/>
    <s v="Medical"/>
    <n v="0.45"/>
    <s v="East"/>
    <x v="0"/>
    <n v="1"/>
    <s v="Poor"/>
    <s v="High"/>
  </r>
  <r>
    <s v="LN0070"/>
    <d v="2025-12-28T00:00:00"/>
    <n v="32"/>
    <s v="Business"/>
    <n v="1629175"/>
    <n v="315"/>
    <n v="1859731"/>
    <n v="7"/>
    <n v="36"/>
    <s v="Education"/>
    <n v="0.27"/>
    <s v="Central"/>
    <x v="3"/>
    <n v="0"/>
    <s v="Poor"/>
    <s v="Medium"/>
  </r>
  <r>
    <s v="LN0071"/>
    <d v="2025-04-18T00:00:00"/>
    <n v="49"/>
    <s v="Business"/>
    <n v="2059982"/>
    <n v="464"/>
    <n v="579298"/>
    <n v="10"/>
    <n v="36"/>
    <s v="Education"/>
    <n v="0.34"/>
    <s v="North"/>
    <x v="2"/>
    <n v="1"/>
    <s v="Poor"/>
    <s v="Medium"/>
  </r>
  <r>
    <s v="LN0072"/>
    <d v="2023-06-19T00:00:00"/>
    <n v="57"/>
    <s v="Self-Employed"/>
    <n v="1489166"/>
    <n v="725"/>
    <n v="390225"/>
    <n v="19"/>
    <n v="60"/>
    <s v="Business"/>
    <n v="0.4"/>
    <s v="Central"/>
    <x v="0"/>
    <n v="1"/>
    <s v="Good"/>
    <s v="High"/>
  </r>
  <r>
    <s v="LN0073"/>
    <d v="2023-07-17T00:00:00"/>
    <n v="41"/>
    <s v="Salaried"/>
    <n v="768118"/>
    <n v="300"/>
    <n v="822722"/>
    <n v="20"/>
    <n v="24"/>
    <s v="Personal"/>
    <n v="0.52"/>
    <s v="East"/>
    <x v="1"/>
    <n v="0"/>
    <s v="Poor"/>
    <s v="High"/>
  </r>
  <r>
    <s v="LN0074"/>
    <d v="2025-09-06T00:00:00"/>
    <n v="33"/>
    <s v="Self-Employed"/>
    <n v="2273055"/>
    <n v="437"/>
    <n v="1856507"/>
    <n v="6"/>
    <n v="60"/>
    <s v="Medical"/>
    <n v="0.6"/>
    <s v="South"/>
    <x v="2"/>
    <n v="1"/>
    <s v="Poor"/>
    <s v="High"/>
  </r>
  <r>
    <s v="LN0075"/>
    <d v="2023-01-25T00:00:00"/>
    <n v="56"/>
    <s v="Salaried"/>
    <n v="1598165"/>
    <n v="383"/>
    <n v="581180"/>
    <n v="15"/>
    <n v="36"/>
    <s v="Home"/>
    <n v="0.18"/>
    <s v="West"/>
    <x v="1"/>
    <n v="0"/>
    <s v="Poor"/>
    <s v="Low"/>
  </r>
  <r>
    <s v="LN0076"/>
    <d v="2023-03-21T00:00:00"/>
    <n v="52"/>
    <s v="Business"/>
    <n v="1531587"/>
    <n v="352"/>
    <n v="1741386"/>
    <n v="18"/>
    <n v="12"/>
    <s v="Medical"/>
    <n v="0.14"/>
    <s v="North"/>
    <x v="2"/>
    <n v="1"/>
    <s v="Poor"/>
    <s v="Low"/>
  </r>
  <r>
    <s v="LN0077"/>
    <d v="2023-08-25T00:00:00"/>
    <n v="40"/>
    <s v="Business"/>
    <n v="1510983"/>
    <n v="401"/>
    <n v="203549"/>
    <n v="22"/>
    <n v="12"/>
    <s v="Education"/>
    <n v="0.49"/>
    <s v="South"/>
    <x v="2"/>
    <n v="0"/>
    <s v="Poor"/>
    <s v="High"/>
  </r>
  <r>
    <s v="LN0078"/>
    <d v="2025-10-20T00:00:00"/>
    <n v="28"/>
    <s v="Self-Employed"/>
    <n v="2301203"/>
    <n v="332"/>
    <n v="415041"/>
    <n v="10"/>
    <n v="12"/>
    <s v="Medical"/>
    <n v="0.17"/>
    <s v="North"/>
    <x v="1"/>
    <n v="1"/>
    <s v="Poor"/>
    <s v="Low"/>
  </r>
  <r>
    <s v="LN0079"/>
    <d v="2023-06-15T00:00:00"/>
    <n v="52"/>
    <s v="Salaried"/>
    <n v="1121216"/>
    <n v="477"/>
    <n v="447118"/>
    <n v="19"/>
    <n v="60"/>
    <s v="Business"/>
    <n v="0.3"/>
    <s v="South"/>
    <x v="2"/>
    <n v="0"/>
    <s v="Poor"/>
    <s v="Medium"/>
  </r>
  <r>
    <s v="LN0080"/>
    <d v="2024-06-03T00:00:00"/>
    <n v="58"/>
    <s v="Salaried"/>
    <n v="1742485"/>
    <n v="723"/>
    <n v="1554785"/>
    <n v="24"/>
    <n v="12"/>
    <s v="Business"/>
    <n v="0.26"/>
    <s v="North"/>
    <x v="0"/>
    <n v="0"/>
    <s v="Good"/>
    <s v="Medium"/>
  </r>
  <r>
    <s v="LN0081"/>
    <d v="2023-05-02T00:00:00"/>
    <n v="49"/>
    <s v="Salaried"/>
    <n v="1004005"/>
    <n v="620"/>
    <n v="1336833"/>
    <n v="22"/>
    <n v="24"/>
    <s v="Personal"/>
    <n v="0.42"/>
    <s v="Central"/>
    <x v="0"/>
    <n v="0"/>
    <s v="Fair"/>
    <s v="High"/>
  </r>
  <r>
    <s v="LN0082"/>
    <d v="2025-11-30T00:00:00"/>
    <n v="25"/>
    <s v="Business"/>
    <n v="1477249"/>
    <n v="388"/>
    <n v="1564914"/>
    <n v="22"/>
    <n v="12"/>
    <s v="Education"/>
    <n v="0.2"/>
    <s v="Central"/>
    <x v="1"/>
    <n v="1"/>
    <s v="Poor"/>
    <s v="Medium"/>
  </r>
  <r>
    <s v="LN0083"/>
    <d v="2025-03-20T00:00:00"/>
    <n v="56"/>
    <s v="Business"/>
    <n v="337587"/>
    <n v="645"/>
    <n v="1352906"/>
    <n v="20"/>
    <n v="24"/>
    <s v="Vehicle"/>
    <n v="0.13"/>
    <s v="North"/>
    <x v="3"/>
    <n v="0"/>
    <s v="Fair"/>
    <s v="Low"/>
  </r>
  <r>
    <s v="LN0084"/>
    <d v="2023-10-10T00:00:00"/>
    <n v="56"/>
    <s v="Salaried"/>
    <n v="1339738"/>
    <n v="743"/>
    <n v="1663523"/>
    <n v="11"/>
    <n v="60"/>
    <s v="Business"/>
    <n v="0.4"/>
    <s v="West"/>
    <x v="3"/>
    <n v="0"/>
    <s v="Excellent"/>
    <s v="High"/>
  </r>
  <r>
    <s v="LN0085"/>
    <d v="2025-05-11T00:00:00"/>
    <n v="57"/>
    <s v="Self-Employed"/>
    <n v="2114527"/>
    <n v="778"/>
    <n v="1279039"/>
    <n v="11"/>
    <n v="36"/>
    <s v="Personal"/>
    <n v="0.4"/>
    <s v="West"/>
    <x v="0"/>
    <n v="0"/>
    <s v="Excellent"/>
    <s v="High"/>
  </r>
  <r>
    <s v="LN0086"/>
    <d v="2023-11-07T00:00:00"/>
    <n v="21"/>
    <s v="Business"/>
    <n v="1383708"/>
    <n v="522"/>
    <n v="1756188"/>
    <n v="8"/>
    <n v="36"/>
    <s v="Medical"/>
    <n v="0.11"/>
    <s v="Central"/>
    <x v="0"/>
    <n v="1"/>
    <s v="Poor"/>
    <s v="Low"/>
  </r>
  <r>
    <s v="LN0087"/>
    <d v="2024-10-21T00:00:00"/>
    <n v="57"/>
    <s v="Salaried"/>
    <n v="681407"/>
    <n v="500"/>
    <n v="1143547"/>
    <n v="7"/>
    <n v="60"/>
    <s v="Vehicle"/>
    <n v="0.15"/>
    <s v="North"/>
    <x v="1"/>
    <n v="0"/>
    <s v="Poor"/>
    <s v="Low"/>
  </r>
  <r>
    <s v="LN0088"/>
    <d v="2025-06-25T00:00:00"/>
    <n v="58"/>
    <s v="Business"/>
    <n v="1861836"/>
    <n v="797"/>
    <n v="1732743"/>
    <n v="12"/>
    <n v="12"/>
    <s v="Business"/>
    <n v="0.45"/>
    <s v="South"/>
    <x v="1"/>
    <n v="0"/>
    <s v="Excellent"/>
    <s v="High"/>
  </r>
  <r>
    <s v="LN0089"/>
    <d v="2023-10-25T00:00:00"/>
    <n v="60"/>
    <s v="Self-Employed"/>
    <n v="1523120"/>
    <n v="468"/>
    <n v="1420629"/>
    <n v="13"/>
    <n v="24"/>
    <s v="Personal"/>
    <n v="0.55"/>
    <s v="West"/>
    <x v="0"/>
    <n v="0"/>
    <s v="Poor"/>
    <s v="High"/>
  </r>
  <r>
    <s v="LN0090"/>
    <d v="2024-05-23T00:00:00"/>
    <n v="57"/>
    <s v="Salaried"/>
    <n v="1722492"/>
    <n v="314"/>
    <n v="241242"/>
    <n v="12"/>
    <n v="60"/>
    <s v="Home"/>
    <n v="0.5"/>
    <s v="North"/>
    <x v="2"/>
    <n v="1"/>
    <s v="Poor"/>
    <s v="High"/>
  </r>
  <r>
    <s v="LN0091"/>
    <d v="2024-06-12T00:00:00"/>
    <n v="48"/>
    <s v="Business"/>
    <n v="983232"/>
    <n v="336"/>
    <n v="1628530"/>
    <n v="18"/>
    <n v="24"/>
    <s v="Education"/>
    <n v="0.16"/>
    <s v="North"/>
    <x v="0"/>
    <n v="1"/>
    <s v="Poor"/>
    <s v="Low"/>
  </r>
  <r>
    <s v="LN0092"/>
    <d v="2023-06-07T00:00:00"/>
    <n v="32"/>
    <s v="Business"/>
    <n v="2036387"/>
    <n v="666"/>
    <n v="998991"/>
    <n v="11"/>
    <n v="60"/>
    <s v="Home"/>
    <n v="0.6"/>
    <s v="North"/>
    <x v="1"/>
    <n v="0"/>
    <s v="Fair"/>
    <s v="High"/>
  </r>
  <r>
    <s v="LN0093"/>
    <d v="2023-04-14T00:00:00"/>
    <n v="51"/>
    <s v="Salaried"/>
    <n v="538643"/>
    <n v="478"/>
    <n v="453976"/>
    <n v="23"/>
    <n v="12"/>
    <s v="Home"/>
    <n v="0.57"/>
    <s v="Central"/>
    <x v="1"/>
    <n v="0"/>
    <s v="Poor"/>
    <s v="High"/>
  </r>
  <r>
    <s v="LN0094"/>
    <d v="2025-04-24T00:00:00"/>
    <n v="27"/>
    <s v="Business"/>
    <n v="1388697"/>
    <n v="817"/>
    <n v="753210"/>
    <n v="22"/>
    <n v="24"/>
    <s v="Home"/>
    <n v="0.59"/>
    <s v="North"/>
    <x v="3"/>
    <n v="0"/>
    <s v="Excellent"/>
    <s v="High"/>
  </r>
  <r>
    <s v="LN0095"/>
    <d v="2025-06-19T00:00:00"/>
    <n v="31"/>
    <s v="Business"/>
    <n v="1189026"/>
    <n v="762"/>
    <n v="176375"/>
    <n v="6"/>
    <n v="36"/>
    <s v="Home"/>
    <n v="0.5600000000000001"/>
    <s v="South"/>
    <x v="0"/>
    <n v="0"/>
    <s v="Excellent"/>
    <s v="High"/>
  </r>
  <r>
    <s v="LN0096"/>
    <d v="2025-07-05T00:00:00"/>
    <n v="43"/>
    <s v="Salaried"/>
    <n v="1584743"/>
    <n v="603"/>
    <n v="1694781"/>
    <n v="13"/>
    <n v="24"/>
    <s v="Vehicle"/>
    <n v="0.12"/>
    <s v="West"/>
    <x v="1"/>
    <n v="1"/>
    <s v="Fair"/>
    <s v="Low"/>
  </r>
  <r>
    <s v="LN0097"/>
    <d v="2025-07-24T00:00:00"/>
    <n v="23"/>
    <s v="Self-Employed"/>
    <n v="1235525"/>
    <n v="675"/>
    <n v="1569468"/>
    <n v="8"/>
    <n v="24"/>
    <s v="Business"/>
    <n v="0.36"/>
    <s v="West"/>
    <x v="2"/>
    <n v="0"/>
    <s v="Good"/>
    <s v="Medium"/>
  </r>
  <r>
    <s v="LN0098"/>
    <d v="2024-08-23T00:00:00"/>
    <n v="33"/>
    <s v="Salaried"/>
    <n v="1631463"/>
    <n v="825"/>
    <n v="1447796"/>
    <n v="6"/>
    <n v="24"/>
    <s v="Home"/>
    <n v="0.36"/>
    <s v="North"/>
    <x v="0"/>
    <n v="0"/>
    <s v="Excellent"/>
    <s v="Medium"/>
  </r>
  <r>
    <s v="LN0099"/>
    <d v="2024-12-30T00:00:00"/>
    <n v="33"/>
    <s v="Salaried"/>
    <n v="2154823"/>
    <n v="783"/>
    <n v="464383"/>
    <n v="9"/>
    <n v="60"/>
    <s v="Home"/>
    <n v="0.57"/>
    <s v="West"/>
    <x v="0"/>
    <n v="0"/>
    <s v="Excellent"/>
    <s v="High"/>
  </r>
  <r>
    <s v="LN0100"/>
    <d v="2025-07-08T00:00:00"/>
    <n v="22"/>
    <s v="Self-Employed"/>
    <n v="2000196"/>
    <n v="631"/>
    <n v="1789900"/>
    <n v="15"/>
    <n v="12"/>
    <s v="Personal"/>
    <n v="0.37"/>
    <s v="West"/>
    <x v="2"/>
    <n v="0"/>
    <s v="Fair"/>
    <s v="Medium"/>
  </r>
  <r>
    <s v="LN0101"/>
    <d v="2023-10-08T00:00:00"/>
    <n v="64"/>
    <s v="Self-Employed"/>
    <n v="1017754"/>
    <n v="742"/>
    <n v="1903428"/>
    <n v="13"/>
    <n v="36"/>
    <s v="Education"/>
    <n v="0.54"/>
    <s v="West"/>
    <x v="3"/>
    <n v="1"/>
    <s v="Excellent"/>
    <s v="High"/>
  </r>
  <r>
    <s v="LN0102"/>
    <d v="2025-11-09T00:00:00"/>
    <n v="32"/>
    <s v="Salaried"/>
    <n v="1037179"/>
    <n v="723"/>
    <n v="1546330"/>
    <n v="16"/>
    <n v="60"/>
    <s v="Personal"/>
    <n v="0.37"/>
    <s v="South"/>
    <x v="0"/>
    <n v="0"/>
    <s v="Good"/>
    <s v="Medium"/>
  </r>
  <r>
    <s v="LN0103"/>
    <d v="2025-05-02T00:00:00"/>
    <n v="30"/>
    <s v="Self-Employed"/>
    <n v="272571"/>
    <n v="691"/>
    <n v="1911967"/>
    <n v="17"/>
    <n v="24"/>
    <s v="Medical"/>
    <n v="0.29"/>
    <s v="Central"/>
    <x v="2"/>
    <n v="1"/>
    <s v="Good"/>
    <s v="Medium"/>
  </r>
  <r>
    <s v="LN0104"/>
    <d v="2023-11-23T00:00:00"/>
    <n v="27"/>
    <s v="Salaried"/>
    <n v="1568896"/>
    <n v="749"/>
    <n v="86332"/>
    <n v="8"/>
    <n v="60"/>
    <s v="Education"/>
    <n v="0.35"/>
    <s v="West"/>
    <x v="3"/>
    <n v="0"/>
    <s v="Excellent"/>
    <s v="Medium"/>
  </r>
  <r>
    <s v="LN0105"/>
    <d v="2024-08-02T00:00:00"/>
    <n v="39"/>
    <s v="Business"/>
    <n v="1009621"/>
    <n v="401"/>
    <n v="974461"/>
    <n v="17"/>
    <n v="60"/>
    <s v="Medical"/>
    <n v="0.59"/>
    <s v="East"/>
    <x v="3"/>
    <n v="1"/>
    <s v="Poor"/>
    <s v="High"/>
  </r>
  <r>
    <s v="LN0106"/>
    <d v="2025-04-24T00:00:00"/>
    <n v="24"/>
    <s v="Business"/>
    <n v="1422710"/>
    <n v="459"/>
    <n v="709273"/>
    <n v="22"/>
    <n v="12"/>
    <s v="Education"/>
    <n v="0.48"/>
    <s v="Central"/>
    <x v="2"/>
    <n v="1"/>
    <s v="Poor"/>
    <s v="High"/>
  </r>
  <r>
    <s v="LN0107"/>
    <d v="2023-08-18T00:00:00"/>
    <n v="31"/>
    <s v="Self-Employed"/>
    <n v="1449099"/>
    <n v="735"/>
    <n v="712710"/>
    <n v="10"/>
    <n v="60"/>
    <s v="Home"/>
    <n v="0.17"/>
    <s v="North"/>
    <x v="2"/>
    <n v="0"/>
    <s v="Good"/>
    <s v="Low"/>
  </r>
  <r>
    <s v="LN0108"/>
    <d v="2023-08-09T00:00:00"/>
    <n v="26"/>
    <s v="Salaried"/>
    <n v="2041387"/>
    <n v="707"/>
    <n v="491800"/>
    <n v="15"/>
    <n v="12"/>
    <s v="Education"/>
    <n v="0.52"/>
    <s v="West"/>
    <x v="3"/>
    <n v="1"/>
    <s v="Good"/>
    <s v="High"/>
  </r>
  <r>
    <s v="LN0109"/>
    <d v="2025-08-21T00:00:00"/>
    <n v="63"/>
    <s v="Salaried"/>
    <n v="1439095"/>
    <n v="541"/>
    <n v="181224"/>
    <n v="8"/>
    <n v="60"/>
    <s v="Medical"/>
    <n v="0.11"/>
    <s v="Central"/>
    <x v="0"/>
    <n v="0"/>
    <s v="Poor"/>
    <s v="Low"/>
  </r>
  <r>
    <s v="LN0110"/>
    <d v="2024-06-07T00:00:00"/>
    <n v="26"/>
    <s v="Salaried"/>
    <n v="1168286"/>
    <n v="354"/>
    <n v="1881026"/>
    <n v="10"/>
    <n v="24"/>
    <s v="Home"/>
    <n v="0.58"/>
    <s v="Central"/>
    <x v="3"/>
    <n v="1"/>
    <s v="Poor"/>
    <s v="High"/>
  </r>
  <r>
    <s v="LN0111"/>
    <d v="2025-01-20T00:00:00"/>
    <n v="21"/>
    <s v="Salaried"/>
    <n v="279387"/>
    <n v="779"/>
    <n v="1415199"/>
    <n v="23"/>
    <n v="24"/>
    <s v="Vehicle"/>
    <n v="0.1"/>
    <s v="South"/>
    <x v="1"/>
    <n v="0"/>
    <s v="Excellent"/>
    <s v="Low"/>
  </r>
  <r>
    <s v="LN0112"/>
    <d v="2023-09-12T00:00:00"/>
    <n v="51"/>
    <s v="Self-Employed"/>
    <n v="318571"/>
    <n v="570"/>
    <n v="201991"/>
    <n v="22"/>
    <n v="60"/>
    <s v="Home"/>
    <n v="0.15"/>
    <s v="Central"/>
    <x v="0"/>
    <n v="0"/>
    <s v="Poor"/>
    <s v="Low"/>
  </r>
  <r>
    <s v="LN0113"/>
    <d v="2023-11-09T00:00:00"/>
    <n v="26"/>
    <s v="Self-Employed"/>
    <n v="1019492"/>
    <n v="525"/>
    <n v="208843"/>
    <n v="21"/>
    <n v="60"/>
    <s v="Education"/>
    <n v="0.11"/>
    <s v="West"/>
    <x v="2"/>
    <n v="0"/>
    <s v="Poor"/>
    <s v="Low"/>
  </r>
  <r>
    <s v="LN0114"/>
    <d v="2023-05-24T00:00:00"/>
    <n v="60"/>
    <s v="Business"/>
    <n v="1106568"/>
    <n v="406"/>
    <n v="392999"/>
    <n v="12"/>
    <n v="24"/>
    <s v="Vehicle"/>
    <n v="0.13"/>
    <s v="Central"/>
    <x v="2"/>
    <n v="1"/>
    <s v="Poor"/>
    <s v="Low"/>
  </r>
  <r>
    <s v="LN0115"/>
    <d v="2024-04-29T00:00:00"/>
    <n v="56"/>
    <s v="Self-Employed"/>
    <n v="1134884"/>
    <n v="473"/>
    <n v="1788690"/>
    <n v="8"/>
    <n v="24"/>
    <s v="Education"/>
    <n v="0.21"/>
    <s v="South"/>
    <x v="3"/>
    <n v="0"/>
    <s v="Poor"/>
    <s v="Medium"/>
  </r>
  <r>
    <s v="LN0116"/>
    <d v="2023-01-05T00:00:00"/>
    <n v="31"/>
    <s v="Business"/>
    <n v="718920"/>
    <n v="585"/>
    <n v="1226216"/>
    <n v="24"/>
    <n v="12"/>
    <s v="Personal"/>
    <n v="0.53"/>
    <s v="Central"/>
    <x v="3"/>
    <n v="0"/>
    <s v="Fair"/>
    <s v="High"/>
  </r>
  <r>
    <s v="LN0117"/>
    <d v="2025-06-26T00:00:00"/>
    <n v="36"/>
    <s v="Self-Employed"/>
    <n v="735395"/>
    <n v="563"/>
    <n v="1164549"/>
    <n v="12"/>
    <n v="36"/>
    <s v="Education"/>
    <n v="0.21"/>
    <s v="Central"/>
    <x v="1"/>
    <n v="0"/>
    <s v="Poor"/>
    <s v="Medium"/>
  </r>
  <r>
    <s v="LN0118"/>
    <d v="2024-08-11T00:00:00"/>
    <n v="36"/>
    <s v="Self-Employed"/>
    <n v="2364477"/>
    <n v="496"/>
    <n v="788644"/>
    <n v="20"/>
    <n v="36"/>
    <s v="Business"/>
    <n v="0.15"/>
    <s v="West"/>
    <x v="0"/>
    <n v="0"/>
    <s v="Poor"/>
    <s v="Low"/>
  </r>
  <r>
    <s v="LN0119"/>
    <d v="2025-10-06T00:00:00"/>
    <n v="44"/>
    <s v="Business"/>
    <n v="866209"/>
    <n v="361"/>
    <n v="1789567"/>
    <n v="9"/>
    <n v="24"/>
    <s v="Medical"/>
    <n v="0.2"/>
    <s v="North"/>
    <x v="2"/>
    <n v="0"/>
    <s v="Poor"/>
    <s v="Medium"/>
  </r>
  <r>
    <s v="LN0120"/>
    <d v="2024-09-23T00:00:00"/>
    <n v="61"/>
    <s v="Salaried"/>
    <n v="597316"/>
    <n v="584"/>
    <n v="77360"/>
    <n v="11"/>
    <n v="12"/>
    <s v="Vehicle"/>
    <n v="0.5600000000000001"/>
    <s v="Central"/>
    <x v="0"/>
    <n v="0"/>
    <s v="Fair"/>
    <s v="High"/>
  </r>
  <r>
    <s v="LN0121"/>
    <d v="2023-11-10T00:00:00"/>
    <n v="46"/>
    <s v="Salaried"/>
    <n v="954424"/>
    <n v="399"/>
    <n v="499210"/>
    <n v="16"/>
    <n v="24"/>
    <s v="Home"/>
    <n v="0.38"/>
    <s v="Central"/>
    <x v="3"/>
    <n v="0"/>
    <s v="Poor"/>
    <s v="Medium"/>
  </r>
  <r>
    <s v="LN0122"/>
    <d v="2024-11-20T00:00:00"/>
    <n v="60"/>
    <s v="Salaried"/>
    <n v="736626"/>
    <n v="849"/>
    <n v="170021"/>
    <n v="23"/>
    <n v="36"/>
    <s v="Medical"/>
    <n v="0.47"/>
    <s v="North"/>
    <x v="1"/>
    <n v="0"/>
    <s v="Excellent"/>
    <s v="High"/>
  </r>
  <r>
    <s v="LN0123"/>
    <d v="2023-10-31T00:00:00"/>
    <n v="62"/>
    <s v="Salaried"/>
    <n v="839912"/>
    <n v="343"/>
    <n v="452894"/>
    <n v="19"/>
    <n v="12"/>
    <s v="Medical"/>
    <n v="0.2"/>
    <s v="Central"/>
    <x v="0"/>
    <n v="0"/>
    <s v="Poor"/>
    <s v="Medium"/>
  </r>
  <r>
    <s v="LN0124"/>
    <d v="2025-12-02T00:00:00"/>
    <n v="29"/>
    <s v="Business"/>
    <n v="678155"/>
    <n v="682"/>
    <n v="77418"/>
    <n v="10"/>
    <n v="60"/>
    <s v="Medical"/>
    <n v="0.55"/>
    <s v="East"/>
    <x v="0"/>
    <n v="0"/>
    <s v="Good"/>
    <s v="High"/>
  </r>
  <r>
    <s v="LN0125"/>
    <d v="2023-08-25T00:00:00"/>
    <n v="22"/>
    <s v="Business"/>
    <n v="2191727"/>
    <n v="569"/>
    <n v="1937989"/>
    <n v="7"/>
    <n v="36"/>
    <s v="Business"/>
    <n v="0.42"/>
    <s v="North"/>
    <x v="0"/>
    <n v="1"/>
    <s v="Poor"/>
    <s v="High"/>
  </r>
  <r>
    <s v="LN0126"/>
    <d v="2023-05-03T00:00:00"/>
    <n v="43"/>
    <s v="Salaried"/>
    <n v="1913129"/>
    <n v="536"/>
    <n v="252645"/>
    <n v="9"/>
    <n v="60"/>
    <s v="Vehicle"/>
    <n v="0.59"/>
    <s v="West"/>
    <x v="2"/>
    <n v="1"/>
    <s v="Poor"/>
    <s v="High"/>
  </r>
  <r>
    <s v="LN0127"/>
    <d v="2025-04-16T00:00:00"/>
    <n v="32"/>
    <s v="Salaried"/>
    <n v="2257655"/>
    <n v="457"/>
    <n v="1363564"/>
    <n v="6"/>
    <n v="12"/>
    <s v="Business"/>
    <n v="0.22"/>
    <s v="East"/>
    <x v="1"/>
    <n v="0"/>
    <s v="Poor"/>
    <s v="Medium"/>
  </r>
  <r>
    <s v="LN0128"/>
    <d v="2025-05-11T00:00:00"/>
    <n v="62"/>
    <s v="Business"/>
    <n v="1730894"/>
    <n v="523"/>
    <n v="227350"/>
    <n v="24"/>
    <n v="12"/>
    <s v="Home"/>
    <n v="0.33"/>
    <s v="South"/>
    <x v="1"/>
    <n v="0"/>
    <s v="Poor"/>
    <s v="Medium"/>
  </r>
  <r>
    <s v="LN0129"/>
    <d v="2024-07-24T00:00:00"/>
    <n v="40"/>
    <s v="Business"/>
    <n v="1437829"/>
    <n v="798"/>
    <n v="1878794"/>
    <n v="11"/>
    <n v="24"/>
    <s v="Education"/>
    <n v="0.24"/>
    <s v="South"/>
    <x v="0"/>
    <n v="0"/>
    <s v="Excellent"/>
    <s v="Medium"/>
  </r>
  <r>
    <s v="LN0130"/>
    <d v="2024-09-22T00:00:00"/>
    <n v="45"/>
    <s v="Business"/>
    <n v="1735544"/>
    <n v="655"/>
    <n v="286155"/>
    <n v="8"/>
    <n v="12"/>
    <s v="Home"/>
    <n v="0.27"/>
    <s v="East"/>
    <x v="2"/>
    <n v="0"/>
    <s v="Fair"/>
    <s v="Medium"/>
  </r>
  <r>
    <s v="LN0131"/>
    <d v="2025-04-12T00:00:00"/>
    <n v="63"/>
    <s v="Business"/>
    <n v="292891"/>
    <n v="614"/>
    <n v="1723693"/>
    <n v="7"/>
    <n v="36"/>
    <s v="Personal"/>
    <n v="0.43"/>
    <s v="West"/>
    <x v="2"/>
    <n v="0"/>
    <s v="Fair"/>
    <s v="High"/>
  </r>
  <r>
    <s v="LN0132"/>
    <d v="2024-02-26T00:00:00"/>
    <n v="40"/>
    <s v="Salaried"/>
    <n v="355808"/>
    <n v="583"/>
    <n v="1335131"/>
    <n v="20"/>
    <n v="12"/>
    <s v="Personal"/>
    <n v="0.24"/>
    <s v="East"/>
    <x v="2"/>
    <n v="0"/>
    <s v="Fair"/>
    <s v="Medium"/>
  </r>
  <r>
    <s v="LN0133"/>
    <d v="2025-01-11T00:00:00"/>
    <n v="42"/>
    <s v="Salaried"/>
    <n v="671557"/>
    <n v="420"/>
    <n v="1269870"/>
    <n v="20"/>
    <n v="24"/>
    <s v="Medical"/>
    <n v="0.46"/>
    <s v="East"/>
    <x v="3"/>
    <n v="1"/>
    <s v="Poor"/>
    <s v="High"/>
  </r>
  <r>
    <s v="LN0134"/>
    <d v="2025-10-11T00:00:00"/>
    <n v="37"/>
    <s v="Salaried"/>
    <n v="682788"/>
    <n v="848"/>
    <n v="854800"/>
    <n v="9"/>
    <n v="24"/>
    <s v="Education"/>
    <n v="0.25"/>
    <s v="Central"/>
    <x v="1"/>
    <n v="0"/>
    <s v="Excellent"/>
    <s v="Medium"/>
  </r>
  <r>
    <s v="LN0135"/>
    <d v="2023-10-28T00:00:00"/>
    <n v="28"/>
    <s v="Self-Employed"/>
    <n v="1635606"/>
    <n v="469"/>
    <n v="1132433"/>
    <n v="24"/>
    <n v="12"/>
    <s v="Education"/>
    <n v="0.28"/>
    <s v="Central"/>
    <x v="0"/>
    <n v="0"/>
    <s v="Poor"/>
    <s v="Medium"/>
  </r>
  <r>
    <s v="LN0136"/>
    <d v="2025-12-04T00:00:00"/>
    <n v="60"/>
    <s v="Self-Employed"/>
    <n v="1933678"/>
    <n v="513"/>
    <n v="1516784"/>
    <n v="24"/>
    <n v="60"/>
    <s v="Home"/>
    <n v="0.11"/>
    <s v="East"/>
    <x v="3"/>
    <n v="1"/>
    <s v="Poor"/>
    <s v="Low"/>
  </r>
  <r>
    <s v="LN0137"/>
    <d v="2024-05-14T00:00:00"/>
    <n v="56"/>
    <s v="Salaried"/>
    <n v="2172374"/>
    <n v="791"/>
    <n v="623432"/>
    <n v="18"/>
    <n v="36"/>
    <s v="Business"/>
    <n v="0.11"/>
    <s v="Central"/>
    <x v="2"/>
    <n v="0"/>
    <s v="Excellent"/>
    <s v="Low"/>
  </r>
  <r>
    <s v="LN0138"/>
    <d v="2023-10-14T00:00:00"/>
    <n v="47"/>
    <s v="Salaried"/>
    <n v="823313"/>
    <n v="370"/>
    <n v="1107137"/>
    <n v="23"/>
    <n v="12"/>
    <s v="Home"/>
    <n v="0.6"/>
    <s v="South"/>
    <x v="0"/>
    <n v="0"/>
    <s v="Poor"/>
    <s v="High"/>
  </r>
  <r>
    <s v="LN0139"/>
    <d v="2024-02-05T00:00:00"/>
    <n v="22"/>
    <s v="Salaried"/>
    <n v="283741"/>
    <n v="780"/>
    <n v="1165828"/>
    <n v="23"/>
    <n v="12"/>
    <s v="Vehicle"/>
    <n v="0.33"/>
    <s v="West"/>
    <x v="0"/>
    <n v="0"/>
    <s v="Excellent"/>
    <s v="Medium"/>
  </r>
  <r>
    <s v="LN0140"/>
    <d v="2025-04-08T00:00:00"/>
    <n v="38"/>
    <s v="Business"/>
    <n v="980943"/>
    <n v="457"/>
    <n v="838261"/>
    <n v="12"/>
    <n v="36"/>
    <s v="Vehicle"/>
    <n v="0.6"/>
    <s v="South"/>
    <x v="0"/>
    <n v="1"/>
    <s v="Poor"/>
    <s v="High"/>
  </r>
  <r>
    <s v="LN0141"/>
    <d v="2023-05-05T00:00:00"/>
    <n v="60"/>
    <s v="Self-Employed"/>
    <n v="1991410"/>
    <n v="753"/>
    <n v="1317762"/>
    <n v="9"/>
    <n v="60"/>
    <s v="Vehicle"/>
    <n v="0.15"/>
    <s v="Central"/>
    <x v="3"/>
    <n v="0"/>
    <s v="Excellent"/>
    <s v="Low"/>
  </r>
  <r>
    <s v="LN0142"/>
    <d v="2024-05-10T00:00:00"/>
    <n v="30"/>
    <s v="Business"/>
    <n v="1033597"/>
    <n v="742"/>
    <n v="857478"/>
    <n v="15"/>
    <n v="24"/>
    <s v="Personal"/>
    <n v="0.51"/>
    <s v="North"/>
    <x v="2"/>
    <n v="0"/>
    <s v="Excellent"/>
    <s v="High"/>
  </r>
  <r>
    <s v="LN0143"/>
    <d v="2025-12-05T00:00:00"/>
    <n v="56"/>
    <s v="Business"/>
    <n v="1204896"/>
    <n v="531"/>
    <n v="1691657"/>
    <n v="13"/>
    <n v="12"/>
    <s v="Medical"/>
    <n v="0.27"/>
    <s v="South"/>
    <x v="2"/>
    <n v="0"/>
    <s v="Poor"/>
    <s v="Medium"/>
  </r>
  <r>
    <s v="LN0144"/>
    <d v="2024-01-10T00:00:00"/>
    <n v="63"/>
    <s v="Salaried"/>
    <n v="927339"/>
    <n v="481"/>
    <n v="768098"/>
    <n v="7"/>
    <n v="12"/>
    <s v="Personal"/>
    <n v="0.57"/>
    <s v="North"/>
    <x v="2"/>
    <n v="0"/>
    <s v="Poor"/>
    <s v="High"/>
  </r>
  <r>
    <s v="LN0145"/>
    <d v="2025-10-06T00:00:00"/>
    <n v="32"/>
    <s v="Business"/>
    <n v="1123246"/>
    <n v="380"/>
    <n v="1377724"/>
    <n v="17"/>
    <n v="12"/>
    <s v="Home"/>
    <n v="0.52"/>
    <s v="North"/>
    <x v="1"/>
    <n v="1"/>
    <s v="Poor"/>
    <s v="High"/>
  </r>
  <r>
    <s v="LN0146"/>
    <d v="2025-09-03T00:00:00"/>
    <n v="21"/>
    <s v="Salaried"/>
    <n v="1504868"/>
    <n v="363"/>
    <n v="1075236"/>
    <n v="16"/>
    <n v="24"/>
    <s v="Business"/>
    <n v="0.22"/>
    <s v="North"/>
    <x v="1"/>
    <n v="0"/>
    <s v="Poor"/>
    <s v="Medium"/>
  </r>
  <r>
    <s v="LN0147"/>
    <d v="2024-01-09T00:00:00"/>
    <n v="26"/>
    <s v="Business"/>
    <n v="1637964"/>
    <n v="426"/>
    <n v="52258"/>
    <n v="23"/>
    <n v="60"/>
    <s v="Home"/>
    <n v="0.49"/>
    <s v="East"/>
    <x v="3"/>
    <n v="0"/>
    <s v="Poor"/>
    <s v="High"/>
  </r>
  <r>
    <s v="LN0148"/>
    <d v="2025-09-18T00:00:00"/>
    <n v="34"/>
    <s v="Business"/>
    <n v="338841"/>
    <n v="338"/>
    <n v="154183"/>
    <n v="18"/>
    <n v="24"/>
    <s v="Vehicle"/>
    <n v="0.32"/>
    <s v="West"/>
    <x v="1"/>
    <n v="0"/>
    <s v="Poor"/>
    <s v="Medium"/>
  </r>
  <r>
    <s v="LN0149"/>
    <d v="2024-05-19T00:00:00"/>
    <n v="55"/>
    <s v="Self-Employed"/>
    <n v="383729"/>
    <n v="441"/>
    <n v="377720"/>
    <n v="17"/>
    <n v="24"/>
    <s v="Business"/>
    <n v="0.34"/>
    <s v="West"/>
    <x v="1"/>
    <n v="0"/>
    <s v="Poor"/>
    <s v="Medium"/>
  </r>
  <r>
    <s v="LN0150"/>
    <d v="2023-04-04T00:00:00"/>
    <n v="39"/>
    <s v="Business"/>
    <n v="300551"/>
    <n v="708"/>
    <n v="390890"/>
    <n v="10"/>
    <n v="12"/>
    <s v="Personal"/>
    <n v="0.2"/>
    <s v="South"/>
    <x v="1"/>
    <n v="0"/>
    <s v="Good"/>
    <s v="Medium"/>
  </r>
  <r>
    <s v="LN0151"/>
    <d v="2025-11-02T00:00:00"/>
    <n v="49"/>
    <s v="Business"/>
    <n v="341717"/>
    <n v="655"/>
    <n v="1022602"/>
    <n v="24"/>
    <n v="36"/>
    <s v="Vehicle"/>
    <n v="0.46"/>
    <s v="West"/>
    <x v="3"/>
    <n v="0"/>
    <s v="Fair"/>
    <s v="High"/>
  </r>
  <r>
    <s v="LN0152"/>
    <d v="2023-08-20T00:00:00"/>
    <n v="40"/>
    <s v="Self-Employed"/>
    <n v="1092899"/>
    <n v="791"/>
    <n v="546984"/>
    <n v="24"/>
    <n v="60"/>
    <s v="Home"/>
    <n v="0.52"/>
    <s v="Central"/>
    <x v="0"/>
    <n v="0"/>
    <s v="Excellent"/>
    <s v="High"/>
  </r>
  <r>
    <s v="LN0153"/>
    <d v="2024-11-28T00:00:00"/>
    <n v="22"/>
    <s v="Salaried"/>
    <n v="889753"/>
    <n v="829"/>
    <n v="1328093"/>
    <n v="24"/>
    <n v="24"/>
    <s v="Business"/>
    <n v="0.36"/>
    <s v="North"/>
    <x v="3"/>
    <n v="0"/>
    <s v="Excellent"/>
    <s v="Medium"/>
  </r>
  <r>
    <s v="LN0154"/>
    <d v="2024-04-06T00:00:00"/>
    <n v="41"/>
    <s v="Salaried"/>
    <n v="973025"/>
    <n v="546"/>
    <n v="722712"/>
    <n v="22"/>
    <n v="12"/>
    <s v="Home"/>
    <n v="0.38"/>
    <s v="North"/>
    <x v="3"/>
    <n v="0"/>
    <s v="Poor"/>
    <s v="Medium"/>
  </r>
  <r>
    <s v="LN0155"/>
    <d v="2025-09-22T00:00:00"/>
    <n v="41"/>
    <s v="Business"/>
    <n v="2380607"/>
    <n v="354"/>
    <n v="681720"/>
    <n v="12"/>
    <n v="12"/>
    <s v="Education"/>
    <n v="0.53"/>
    <s v="Central"/>
    <x v="3"/>
    <n v="0"/>
    <s v="Poor"/>
    <s v="High"/>
  </r>
  <r>
    <s v="LN0156"/>
    <d v="2024-10-08T00:00:00"/>
    <n v="38"/>
    <s v="Salaried"/>
    <n v="1369242"/>
    <n v="617"/>
    <n v="88941"/>
    <n v="13"/>
    <n v="24"/>
    <s v="Education"/>
    <n v="0.57"/>
    <s v="East"/>
    <x v="2"/>
    <n v="0"/>
    <s v="Fair"/>
    <s v="High"/>
  </r>
  <r>
    <s v="LN0157"/>
    <d v="2024-02-25T00:00:00"/>
    <n v="48"/>
    <s v="Self-Employed"/>
    <n v="1660198"/>
    <n v="468"/>
    <n v="444014"/>
    <n v="20"/>
    <n v="36"/>
    <s v="Medical"/>
    <n v="0.23"/>
    <s v="East"/>
    <x v="2"/>
    <n v="0"/>
    <s v="Poor"/>
    <s v="Medium"/>
  </r>
  <r>
    <s v="LN0158"/>
    <d v="2025-04-30T00:00:00"/>
    <n v="28"/>
    <s v="Business"/>
    <n v="571937"/>
    <n v="733"/>
    <n v="1681313"/>
    <n v="20"/>
    <n v="36"/>
    <s v="Vehicle"/>
    <n v="0.22"/>
    <s v="North"/>
    <x v="2"/>
    <n v="0"/>
    <s v="Good"/>
    <s v="Medium"/>
  </r>
  <r>
    <s v="LN0159"/>
    <d v="2024-10-06T00:00:00"/>
    <n v="59"/>
    <s v="Salaried"/>
    <n v="1354521"/>
    <n v="426"/>
    <n v="1770038"/>
    <n v="6"/>
    <n v="12"/>
    <s v="Home"/>
    <n v="0.3"/>
    <s v="North"/>
    <x v="0"/>
    <n v="1"/>
    <s v="Poor"/>
    <s v="Medium"/>
  </r>
  <r>
    <s v="LN0160"/>
    <d v="2023-02-17T00:00:00"/>
    <n v="62"/>
    <s v="Self-Employed"/>
    <n v="575901"/>
    <n v="511"/>
    <n v="860186"/>
    <n v="9"/>
    <n v="12"/>
    <s v="Medical"/>
    <n v="0.5"/>
    <s v="South"/>
    <x v="3"/>
    <n v="1"/>
    <s v="Poor"/>
    <s v="High"/>
  </r>
  <r>
    <s v="LN0161"/>
    <d v="2023-08-29T00:00:00"/>
    <n v="44"/>
    <s v="Self-Employed"/>
    <n v="1212359"/>
    <n v="633"/>
    <n v="358019"/>
    <n v="11"/>
    <n v="36"/>
    <s v="Personal"/>
    <n v="0.5600000000000001"/>
    <s v="East"/>
    <x v="1"/>
    <n v="0"/>
    <s v="Fair"/>
    <s v="High"/>
  </r>
  <r>
    <s v="LN0162"/>
    <d v="2024-05-14T00:00:00"/>
    <n v="56"/>
    <s v="Business"/>
    <n v="1345379"/>
    <n v="720"/>
    <n v="912530"/>
    <n v="21"/>
    <n v="60"/>
    <s v="Business"/>
    <n v="0.19"/>
    <s v="Central"/>
    <x v="0"/>
    <n v="0"/>
    <s v="Good"/>
    <s v="Low"/>
  </r>
  <r>
    <s v="LN0163"/>
    <d v="2025-04-13T00:00:00"/>
    <n v="22"/>
    <s v="Salaried"/>
    <n v="1394639"/>
    <n v="372"/>
    <n v="1692656"/>
    <n v="14"/>
    <n v="24"/>
    <s v="Vehicle"/>
    <n v="0.42"/>
    <s v="West"/>
    <x v="1"/>
    <n v="1"/>
    <s v="Poor"/>
    <s v="High"/>
  </r>
  <r>
    <s v="LN0164"/>
    <d v="2023-04-18T00:00:00"/>
    <n v="43"/>
    <s v="Business"/>
    <n v="1815760"/>
    <n v="578"/>
    <n v="1576467"/>
    <n v="11"/>
    <n v="12"/>
    <s v="Business"/>
    <n v="0.28"/>
    <s v="Central"/>
    <x v="1"/>
    <n v="1"/>
    <s v="Poor"/>
    <s v="Medium"/>
  </r>
  <r>
    <s v="LN0165"/>
    <d v="2023-06-04T00:00:00"/>
    <n v="32"/>
    <s v="Salaried"/>
    <n v="549497"/>
    <n v="508"/>
    <n v="526375"/>
    <n v="20"/>
    <n v="24"/>
    <s v="Business"/>
    <n v="0.23"/>
    <s v="Central"/>
    <x v="3"/>
    <n v="0"/>
    <s v="Poor"/>
    <s v="Medium"/>
  </r>
  <r>
    <s v="LN0166"/>
    <d v="2023-03-05T00:00:00"/>
    <n v="39"/>
    <s v="Self-Employed"/>
    <n v="2045890"/>
    <n v="609"/>
    <n v="779100"/>
    <n v="24"/>
    <n v="12"/>
    <s v="Business"/>
    <n v="0.11"/>
    <s v="North"/>
    <x v="3"/>
    <n v="0"/>
    <s v="Fair"/>
    <s v="Low"/>
  </r>
  <r>
    <s v="LN0167"/>
    <d v="2024-12-15T00:00:00"/>
    <n v="65"/>
    <s v="Salaried"/>
    <n v="1665674"/>
    <n v="406"/>
    <n v="1417858"/>
    <n v="16"/>
    <n v="24"/>
    <s v="Medical"/>
    <n v="0.29"/>
    <s v="North"/>
    <x v="2"/>
    <n v="0"/>
    <s v="Poor"/>
    <s v="Medium"/>
  </r>
  <r>
    <s v="LN0168"/>
    <d v="2024-05-28T00:00:00"/>
    <n v="40"/>
    <s v="Business"/>
    <n v="967542"/>
    <n v="497"/>
    <n v="1198626"/>
    <n v="13"/>
    <n v="36"/>
    <s v="Business"/>
    <n v="0.11"/>
    <s v="East"/>
    <x v="3"/>
    <n v="0"/>
    <s v="Poor"/>
    <s v="Low"/>
  </r>
  <r>
    <s v="LN0169"/>
    <d v="2024-09-20T00:00:00"/>
    <n v="34"/>
    <s v="Salaried"/>
    <n v="1512888"/>
    <n v="335"/>
    <n v="945039"/>
    <n v="9"/>
    <n v="36"/>
    <s v="Vehicle"/>
    <n v="0.58"/>
    <s v="West"/>
    <x v="0"/>
    <n v="1"/>
    <s v="Poor"/>
    <s v="High"/>
  </r>
  <r>
    <s v="LN0170"/>
    <d v="2025-05-11T00:00:00"/>
    <n v="34"/>
    <s v="Business"/>
    <n v="765218"/>
    <n v="678"/>
    <n v="731357"/>
    <n v="24"/>
    <n v="24"/>
    <s v="Vehicle"/>
    <n v="0.41"/>
    <s v="Central"/>
    <x v="1"/>
    <n v="0"/>
    <s v="Good"/>
    <s v="High"/>
  </r>
  <r>
    <s v="LN0171"/>
    <d v="2023-06-01T00:00:00"/>
    <n v="30"/>
    <s v="Business"/>
    <n v="1532924"/>
    <n v="324"/>
    <n v="1466183"/>
    <n v="12"/>
    <n v="12"/>
    <s v="Medical"/>
    <n v="0.4"/>
    <s v="South"/>
    <x v="3"/>
    <n v="0"/>
    <s v="Poor"/>
    <s v="High"/>
  </r>
  <r>
    <s v="LN0172"/>
    <d v="2023-02-03T00:00:00"/>
    <n v="62"/>
    <s v="Self-Employed"/>
    <n v="1738021"/>
    <n v="646"/>
    <n v="947191"/>
    <n v="12"/>
    <n v="36"/>
    <s v="Home"/>
    <n v="0.52"/>
    <s v="North"/>
    <x v="0"/>
    <n v="0"/>
    <s v="Fair"/>
    <s v="High"/>
  </r>
  <r>
    <s v="LN0173"/>
    <d v="2025-04-30T00:00:00"/>
    <n v="25"/>
    <s v="Business"/>
    <n v="1064467"/>
    <n v="622"/>
    <n v="159990"/>
    <n v="13"/>
    <n v="36"/>
    <s v="Personal"/>
    <n v="0.32"/>
    <s v="South"/>
    <x v="0"/>
    <n v="0"/>
    <s v="Fair"/>
    <s v="Medium"/>
  </r>
  <r>
    <s v="LN0174"/>
    <d v="2024-06-12T00:00:00"/>
    <n v="56"/>
    <s v="Self-Employed"/>
    <n v="918852"/>
    <n v="811"/>
    <n v="1248384"/>
    <n v="11"/>
    <n v="60"/>
    <s v="Home"/>
    <n v="0.47"/>
    <s v="East"/>
    <x v="3"/>
    <n v="0"/>
    <s v="Excellent"/>
    <s v="High"/>
  </r>
  <r>
    <s v="LN0175"/>
    <d v="2024-03-10T00:00:00"/>
    <n v="35"/>
    <s v="Self-Employed"/>
    <n v="1705397"/>
    <n v="533"/>
    <n v="627318"/>
    <n v="6"/>
    <n v="12"/>
    <s v="Home"/>
    <n v="0.48"/>
    <s v="East"/>
    <x v="3"/>
    <n v="1"/>
    <s v="Poor"/>
    <s v="High"/>
  </r>
  <r>
    <s v="LN0176"/>
    <d v="2025-02-13T00:00:00"/>
    <n v="23"/>
    <s v="Salaried"/>
    <n v="860925"/>
    <n v="750"/>
    <n v="1450838"/>
    <n v="12"/>
    <n v="60"/>
    <s v="Business"/>
    <n v="0.49"/>
    <s v="North"/>
    <x v="1"/>
    <n v="0"/>
    <s v="Excellent"/>
    <s v="High"/>
  </r>
  <r>
    <s v="LN0177"/>
    <d v="2023-08-28T00:00:00"/>
    <n v="36"/>
    <s v="Self-Employed"/>
    <n v="713089"/>
    <n v="674"/>
    <n v="1527452"/>
    <n v="8"/>
    <n v="60"/>
    <s v="Home"/>
    <n v="0.48"/>
    <s v="Central"/>
    <x v="2"/>
    <n v="1"/>
    <s v="Good"/>
    <s v="High"/>
  </r>
  <r>
    <s v="LN0178"/>
    <d v="2023-12-24T00:00:00"/>
    <n v="34"/>
    <s v="Business"/>
    <n v="1887499"/>
    <n v="337"/>
    <n v="1972897"/>
    <n v="13"/>
    <n v="24"/>
    <s v="Personal"/>
    <n v="0.5"/>
    <s v="West"/>
    <x v="1"/>
    <n v="1"/>
    <s v="Poor"/>
    <s v="High"/>
  </r>
  <r>
    <s v="LN0179"/>
    <d v="2025-07-02T00:00:00"/>
    <n v="34"/>
    <s v="Business"/>
    <n v="578256"/>
    <n v="708"/>
    <n v="1419304"/>
    <n v="18"/>
    <n v="60"/>
    <s v="Education"/>
    <n v="0.34"/>
    <s v="East"/>
    <x v="0"/>
    <n v="0"/>
    <s v="Good"/>
    <s v="Medium"/>
  </r>
  <r>
    <s v="LN0180"/>
    <d v="2024-04-08T00:00:00"/>
    <n v="29"/>
    <s v="Salaried"/>
    <n v="727935"/>
    <n v="814"/>
    <n v="280361"/>
    <n v="13"/>
    <n v="36"/>
    <s v="Education"/>
    <n v="0.34"/>
    <s v="North"/>
    <x v="3"/>
    <n v="0"/>
    <s v="Excellent"/>
    <s v="Medium"/>
  </r>
  <r>
    <s v="LN0181"/>
    <d v="2024-07-11T00:00:00"/>
    <n v="45"/>
    <s v="Salaried"/>
    <n v="2179562"/>
    <n v="597"/>
    <n v="1616798"/>
    <n v="12"/>
    <n v="12"/>
    <s v="Medical"/>
    <n v="0.45"/>
    <s v="North"/>
    <x v="1"/>
    <n v="0"/>
    <s v="Fair"/>
    <s v="High"/>
  </r>
  <r>
    <s v="LN0182"/>
    <d v="2024-01-07T00:00:00"/>
    <n v="43"/>
    <s v="Business"/>
    <n v="1527021"/>
    <n v="388"/>
    <n v="1697699"/>
    <n v="22"/>
    <n v="36"/>
    <s v="Medical"/>
    <n v="0.22"/>
    <s v="East"/>
    <x v="2"/>
    <n v="1"/>
    <s v="Poor"/>
    <s v="Medium"/>
  </r>
  <r>
    <s v="LN0183"/>
    <d v="2024-02-14T00:00:00"/>
    <n v="61"/>
    <s v="Self-Employed"/>
    <n v="279508"/>
    <n v="802"/>
    <n v="1245710"/>
    <n v="18"/>
    <n v="24"/>
    <s v="Business"/>
    <n v="0.44"/>
    <s v="South"/>
    <x v="3"/>
    <n v="0"/>
    <s v="Excellent"/>
    <s v="High"/>
  </r>
  <r>
    <s v="LN0184"/>
    <d v="2024-12-31T00:00:00"/>
    <n v="53"/>
    <s v="Self-Employed"/>
    <n v="2279687"/>
    <n v="391"/>
    <n v="552408"/>
    <n v="8"/>
    <n v="12"/>
    <s v="Personal"/>
    <n v="0.33"/>
    <s v="East"/>
    <x v="1"/>
    <n v="0"/>
    <s v="Poor"/>
    <s v="Medium"/>
  </r>
  <r>
    <s v="LN0185"/>
    <d v="2025-02-09T00:00:00"/>
    <n v="34"/>
    <s v="Business"/>
    <n v="1891640"/>
    <n v="773"/>
    <n v="521971"/>
    <n v="23"/>
    <n v="24"/>
    <s v="Personal"/>
    <n v="0.59"/>
    <s v="North"/>
    <x v="0"/>
    <n v="0"/>
    <s v="Excellent"/>
    <s v="High"/>
  </r>
  <r>
    <s v="LN0186"/>
    <d v="2024-11-22T00:00:00"/>
    <n v="38"/>
    <s v="Self-Employed"/>
    <n v="1378039"/>
    <n v="668"/>
    <n v="1976938"/>
    <n v="23"/>
    <n v="60"/>
    <s v="Vehicle"/>
    <n v="0.29"/>
    <s v="South"/>
    <x v="2"/>
    <n v="0"/>
    <s v="Fair"/>
    <s v="Medium"/>
  </r>
  <r>
    <s v="LN0187"/>
    <d v="2025-03-18T00:00:00"/>
    <n v="64"/>
    <s v="Salaried"/>
    <n v="2242306"/>
    <n v="531"/>
    <n v="1653463"/>
    <n v="8"/>
    <n v="60"/>
    <s v="Medical"/>
    <n v="0.18"/>
    <s v="North"/>
    <x v="1"/>
    <n v="1"/>
    <s v="Poor"/>
    <s v="Low"/>
  </r>
  <r>
    <s v="LN0188"/>
    <d v="2025-12-27T00:00:00"/>
    <n v="53"/>
    <s v="Business"/>
    <n v="800018"/>
    <n v="715"/>
    <n v="1056368"/>
    <n v="12"/>
    <n v="36"/>
    <s v="Business"/>
    <n v="0.45"/>
    <s v="South"/>
    <x v="1"/>
    <n v="0"/>
    <s v="Good"/>
    <s v="High"/>
  </r>
  <r>
    <s v="LN0189"/>
    <d v="2025-10-04T00:00:00"/>
    <n v="38"/>
    <s v="Self-Employed"/>
    <n v="2363333"/>
    <n v="391"/>
    <n v="405466"/>
    <n v="16"/>
    <n v="60"/>
    <s v="Education"/>
    <n v="0.42"/>
    <s v="East"/>
    <x v="0"/>
    <n v="0"/>
    <s v="Poor"/>
    <s v="High"/>
  </r>
  <r>
    <s v="LN0190"/>
    <d v="2023-12-14T00:00:00"/>
    <n v="43"/>
    <s v="Salaried"/>
    <n v="1291412"/>
    <n v="514"/>
    <n v="1901546"/>
    <n v="6"/>
    <n v="12"/>
    <s v="Vehicle"/>
    <n v="0.14"/>
    <s v="North"/>
    <x v="3"/>
    <n v="1"/>
    <s v="Poor"/>
    <s v="Low"/>
  </r>
  <r>
    <s v="LN0191"/>
    <d v="2024-09-18T00:00:00"/>
    <n v="26"/>
    <s v="Self-Employed"/>
    <n v="1388554"/>
    <n v="787"/>
    <n v="796512"/>
    <n v="14"/>
    <n v="60"/>
    <s v="Vehicle"/>
    <n v="0.14"/>
    <s v="West"/>
    <x v="3"/>
    <n v="1"/>
    <s v="Excellent"/>
    <s v="Low"/>
  </r>
  <r>
    <s v="LN0192"/>
    <d v="2023-10-03T00:00:00"/>
    <n v="38"/>
    <s v="Salaried"/>
    <n v="1020449"/>
    <n v="721"/>
    <n v="1583614"/>
    <n v="13"/>
    <n v="36"/>
    <s v="Home"/>
    <n v="0.25"/>
    <s v="East"/>
    <x v="1"/>
    <n v="0"/>
    <s v="Good"/>
    <s v="Medium"/>
  </r>
  <r>
    <s v="LN0193"/>
    <d v="2023-12-07T00:00:00"/>
    <n v="33"/>
    <s v="Self-Employed"/>
    <n v="825281"/>
    <n v="546"/>
    <n v="1126705"/>
    <n v="14"/>
    <n v="12"/>
    <s v="Home"/>
    <n v="0.16"/>
    <s v="South"/>
    <x v="3"/>
    <n v="0"/>
    <s v="Poor"/>
    <s v="Low"/>
  </r>
  <r>
    <s v="LN0194"/>
    <d v="2023-04-19T00:00:00"/>
    <n v="62"/>
    <s v="Self-Employed"/>
    <n v="1242126"/>
    <n v="799"/>
    <n v="917122"/>
    <n v="20"/>
    <n v="60"/>
    <s v="Home"/>
    <n v="0.35"/>
    <s v="West"/>
    <x v="0"/>
    <n v="0"/>
    <s v="Excellent"/>
    <s v="Medium"/>
  </r>
  <r>
    <s v="LN0195"/>
    <d v="2024-06-02T00:00:00"/>
    <n v="26"/>
    <s v="Self-Employed"/>
    <n v="878043"/>
    <n v="424"/>
    <n v="945799"/>
    <n v="7"/>
    <n v="60"/>
    <s v="Business"/>
    <n v="0.35"/>
    <s v="North"/>
    <x v="0"/>
    <n v="1"/>
    <s v="Poor"/>
    <s v="Medium"/>
  </r>
  <r>
    <s v="LN0196"/>
    <d v="2024-10-03T00:00:00"/>
    <n v="60"/>
    <s v="Business"/>
    <n v="2351976"/>
    <n v="333"/>
    <n v="1649658"/>
    <n v="19"/>
    <n v="60"/>
    <s v="Personal"/>
    <n v="0.17"/>
    <s v="Central"/>
    <x v="1"/>
    <n v="1"/>
    <s v="Poor"/>
    <s v="Low"/>
  </r>
  <r>
    <s v="LN0197"/>
    <d v="2024-07-11T00:00:00"/>
    <n v="45"/>
    <s v="Salaried"/>
    <n v="1931882"/>
    <n v="835"/>
    <n v="572081"/>
    <n v="21"/>
    <n v="12"/>
    <s v="Vehicle"/>
    <n v="0.4"/>
    <s v="West"/>
    <x v="3"/>
    <n v="0"/>
    <s v="Excellent"/>
    <s v="High"/>
  </r>
  <r>
    <s v="LN0198"/>
    <d v="2024-10-24T00:00:00"/>
    <n v="32"/>
    <s v="Salaried"/>
    <n v="1222303"/>
    <n v="457"/>
    <n v="1309174"/>
    <n v="9"/>
    <n v="24"/>
    <s v="Home"/>
    <n v="0.54"/>
    <s v="North"/>
    <x v="3"/>
    <n v="0"/>
    <s v="Poor"/>
    <s v="High"/>
  </r>
  <r>
    <s v="LN0199"/>
    <d v="2025-09-26T00:00:00"/>
    <n v="64"/>
    <s v="Self-Employed"/>
    <n v="1660196"/>
    <n v="473"/>
    <n v="1255156"/>
    <n v="10"/>
    <n v="36"/>
    <s v="Personal"/>
    <n v="0.45"/>
    <s v="North"/>
    <x v="1"/>
    <n v="0"/>
    <s v="Poor"/>
    <s v="High"/>
  </r>
  <r>
    <s v="LN0200"/>
    <d v="2024-02-04T00:00:00"/>
    <n v="59"/>
    <s v="Self-Employed"/>
    <n v="264426"/>
    <n v="391"/>
    <n v="1969072"/>
    <n v="19"/>
    <n v="24"/>
    <s v="Business"/>
    <n v="0.18"/>
    <s v="Central"/>
    <x v="1"/>
    <n v="1"/>
    <s v="Poor"/>
    <s v="Low"/>
  </r>
  <r>
    <s v="LN0201"/>
    <d v="2023-03-31T00:00:00"/>
    <n v="57"/>
    <s v="Salaried"/>
    <n v="2078005"/>
    <n v="664"/>
    <n v="1047465"/>
    <n v="6"/>
    <n v="36"/>
    <s v="Medical"/>
    <n v="0.17"/>
    <s v="East"/>
    <x v="2"/>
    <n v="0"/>
    <s v="Fair"/>
    <s v="Low"/>
  </r>
  <r>
    <s v="LN0202"/>
    <d v="2023-09-19T00:00:00"/>
    <n v="51"/>
    <s v="Business"/>
    <n v="858568"/>
    <n v="414"/>
    <n v="370358"/>
    <n v="22"/>
    <n v="12"/>
    <s v="Vehicle"/>
    <n v="0.27"/>
    <s v="North"/>
    <x v="3"/>
    <n v="0"/>
    <s v="Poor"/>
    <s v="Medium"/>
  </r>
  <r>
    <s v="LN0203"/>
    <d v="2023-04-21T00:00:00"/>
    <n v="51"/>
    <s v="Self-Employed"/>
    <n v="1139280"/>
    <n v="577"/>
    <n v="1570799"/>
    <n v="13"/>
    <n v="24"/>
    <s v="Vehicle"/>
    <n v="0.31"/>
    <s v="South"/>
    <x v="0"/>
    <n v="0"/>
    <s v="Poor"/>
    <s v="Medium"/>
  </r>
  <r>
    <s v="LN0204"/>
    <d v="2025-09-28T00:00:00"/>
    <n v="62"/>
    <s v="Self-Employed"/>
    <n v="2302062"/>
    <n v="568"/>
    <n v="1292328"/>
    <n v="19"/>
    <n v="36"/>
    <s v="Vehicle"/>
    <n v="0.35"/>
    <s v="East"/>
    <x v="3"/>
    <n v="0"/>
    <s v="Poor"/>
    <s v="Medium"/>
  </r>
  <r>
    <s v="LN0205"/>
    <d v="2024-08-09T00:00:00"/>
    <n v="46"/>
    <s v="Business"/>
    <n v="1609450"/>
    <n v="622"/>
    <n v="516485"/>
    <n v="13"/>
    <n v="24"/>
    <s v="Business"/>
    <n v="0.14"/>
    <s v="South"/>
    <x v="2"/>
    <n v="0"/>
    <s v="Fair"/>
    <s v="Low"/>
  </r>
  <r>
    <s v="LN0206"/>
    <d v="2023-08-12T00:00:00"/>
    <n v="45"/>
    <s v="Self-Employed"/>
    <n v="2372156"/>
    <n v="789"/>
    <n v="926285"/>
    <n v="8"/>
    <n v="12"/>
    <s v="Personal"/>
    <n v="0.14"/>
    <s v="East"/>
    <x v="0"/>
    <n v="0"/>
    <s v="Excellent"/>
    <s v="Low"/>
  </r>
  <r>
    <s v="LN0207"/>
    <d v="2023-09-21T00:00:00"/>
    <n v="45"/>
    <s v="Self-Employed"/>
    <n v="1756645"/>
    <n v="461"/>
    <n v="1320808"/>
    <n v="18"/>
    <n v="24"/>
    <s v="Personal"/>
    <n v="0.28"/>
    <s v="South"/>
    <x v="1"/>
    <n v="0"/>
    <s v="Poor"/>
    <s v="Medium"/>
  </r>
  <r>
    <s v="LN0208"/>
    <d v="2023-03-19T00:00:00"/>
    <n v="34"/>
    <s v="Business"/>
    <n v="389214"/>
    <n v="701"/>
    <n v="1584216"/>
    <n v="10"/>
    <n v="24"/>
    <s v="Business"/>
    <n v="0.47"/>
    <s v="South"/>
    <x v="0"/>
    <n v="0"/>
    <s v="Good"/>
    <s v="High"/>
  </r>
  <r>
    <s v="LN0209"/>
    <d v="2025-03-10T00:00:00"/>
    <n v="23"/>
    <s v="Salaried"/>
    <n v="1650370"/>
    <n v="479"/>
    <n v="647909"/>
    <n v="18"/>
    <n v="36"/>
    <s v="Home"/>
    <n v="0.1"/>
    <s v="South"/>
    <x v="0"/>
    <n v="1"/>
    <s v="Poor"/>
    <s v="Low"/>
  </r>
  <r>
    <s v="LN0210"/>
    <d v="2025-06-04T00:00:00"/>
    <n v="57"/>
    <s v="Business"/>
    <n v="851500"/>
    <n v="357"/>
    <n v="731467"/>
    <n v="17"/>
    <n v="60"/>
    <s v="Vehicle"/>
    <n v="0.1"/>
    <s v="Central"/>
    <x v="3"/>
    <n v="0"/>
    <s v="Poor"/>
    <s v="Low"/>
  </r>
  <r>
    <s v="LN0211"/>
    <d v="2023-02-12T00:00:00"/>
    <n v="45"/>
    <s v="Business"/>
    <n v="2011196"/>
    <n v="673"/>
    <n v="52926"/>
    <n v="22"/>
    <n v="24"/>
    <s v="Vehicle"/>
    <n v="0.44"/>
    <s v="West"/>
    <x v="0"/>
    <n v="1"/>
    <s v="Good"/>
    <s v="High"/>
  </r>
  <r>
    <s v="LN0212"/>
    <d v="2023-11-21T00:00:00"/>
    <n v="40"/>
    <s v="Salaried"/>
    <n v="1902636"/>
    <n v="660"/>
    <n v="296705"/>
    <n v="9"/>
    <n v="60"/>
    <s v="Vehicle"/>
    <n v="0.22"/>
    <s v="West"/>
    <x v="1"/>
    <n v="0"/>
    <s v="Fair"/>
    <s v="Medium"/>
  </r>
  <r>
    <s v="LN0213"/>
    <d v="2023-04-03T00:00:00"/>
    <n v="60"/>
    <s v="Self-Employed"/>
    <n v="1744197"/>
    <n v="333"/>
    <n v="1916698"/>
    <n v="10"/>
    <n v="12"/>
    <s v="Business"/>
    <n v="0.27"/>
    <s v="North"/>
    <x v="2"/>
    <n v="1"/>
    <s v="Poor"/>
    <s v="Medium"/>
  </r>
  <r>
    <s v="LN0214"/>
    <d v="2024-07-30T00:00:00"/>
    <n v="65"/>
    <s v="Business"/>
    <n v="1182731"/>
    <n v="791"/>
    <n v="973660"/>
    <n v="7"/>
    <n v="24"/>
    <s v="Education"/>
    <n v="0.48"/>
    <s v="East"/>
    <x v="2"/>
    <n v="0"/>
    <s v="Excellent"/>
    <s v="High"/>
  </r>
  <r>
    <s v="LN0215"/>
    <d v="2023-04-18T00:00:00"/>
    <n v="40"/>
    <s v="Salaried"/>
    <n v="457811"/>
    <n v="828"/>
    <n v="357134"/>
    <n v="22"/>
    <n v="12"/>
    <s v="Personal"/>
    <n v="0.15"/>
    <s v="South"/>
    <x v="1"/>
    <n v="0"/>
    <s v="Excellent"/>
    <s v="Low"/>
  </r>
  <r>
    <s v="LN0216"/>
    <d v="2024-08-10T00:00:00"/>
    <n v="65"/>
    <s v="Self-Employed"/>
    <n v="1299860"/>
    <n v="560"/>
    <n v="1326234"/>
    <n v="12"/>
    <n v="60"/>
    <s v="Vehicle"/>
    <n v="0.39"/>
    <s v="North"/>
    <x v="2"/>
    <n v="0"/>
    <s v="Poor"/>
    <s v="Medium"/>
  </r>
  <r>
    <s v="LN0217"/>
    <d v="2024-11-05T00:00:00"/>
    <n v="42"/>
    <s v="Salaried"/>
    <n v="339187"/>
    <n v="489"/>
    <n v="1931074"/>
    <n v="16"/>
    <n v="12"/>
    <s v="Medical"/>
    <n v="0.44"/>
    <s v="Central"/>
    <x v="1"/>
    <n v="0"/>
    <s v="Poor"/>
    <s v="High"/>
  </r>
  <r>
    <s v="LN0218"/>
    <d v="2025-11-04T00:00:00"/>
    <n v="21"/>
    <s v="Business"/>
    <n v="1559290"/>
    <n v="803"/>
    <n v="720601"/>
    <n v="11"/>
    <n v="60"/>
    <s v="Vehicle"/>
    <n v="0.26"/>
    <s v="Central"/>
    <x v="1"/>
    <n v="0"/>
    <s v="Excellent"/>
    <s v="Medium"/>
  </r>
  <r>
    <s v="LN0219"/>
    <d v="2024-11-24T00:00:00"/>
    <n v="38"/>
    <s v="Business"/>
    <n v="2014226"/>
    <n v="827"/>
    <n v="173429"/>
    <n v="17"/>
    <n v="12"/>
    <s v="Medical"/>
    <n v="0.5"/>
    <s v="Central"/>
    <x v="0"/>
    <n v="0"/>
    <s v="Excellent"/>
    <s v="High"/>
  </r>
  <r>
    <s v="LN0220"/>
    <d v="2024-09-10T00:00:00"/>
    <n v="45"/>
    <s v="Business"/>
    <n v="884221"/>
    <n v="827"/>
    <n v="648798"/>
    <n v="10"/>
    <n v="24"/>
    <s v="Business"/>
    <n v="0.35"/>
    <s v="North"/>
    <x v="3"/>
    <n v="0"/>
    <s v="Excellent"/>
    <s v="Medium"/>
  </r>
  <r>
    <s v="LN0221"/>
    <d v="2024-06-08T00:00:00"/>
    <n v="51"/>
    <s v="Business"/>
    <n v="1370587"/>
    <n v="312"/>
    <n v="396980"/>
    <n v="6"/>
    <n v="12"/>
    <s v="Business"/>
    <n v="0.4"/>
    <s v="Central"/>
    <x v="1"/>
    <n v="0"/>
    <s v="Poor"/>
    <s v="High"/>
  </r>
  <r>
    <s v="LN0222"/>
    <d v="2024-09-02T00:00:00"/>
    <n v="22"/>
    <s v="Self-Employed"/>
    <n v="502682"/>
    <n v="840"/>
    <n v="1239696"/>
    <n v="12"/>
    <n v="36"/>
    <s v="Vehicle"/>
    <n v="0.53"/>
    <s v="East"/>
    <x v="1"/>
    <n v="1"/>
    <s v="Excellent"/>
    <s v="High"/>
  </r>
  <r>
    <s v="LN0223"/>
    <d v="2023-08-16T00:00:00"/>
    <n v="38"/>
    <s v="Self-Employed"/>
    <n v="2144346"/>
    <n v="385"/>
    <n v="1068986"/>
    <n v="20"/>
    <n v="24"/>
    <s v="Education"/>
    <n v="0.34"/>
    <s v="West"/>
    <x v="0"/>
    <n v="0"/>
    <s v="Poor"/>
    <s v="Medium"/>
  </r>
  <r>
    <s v="LN0224"/>
    <d v="2025-02-06T00:00:00"/>
    <n v="43"/>
    <s v="Business"/>
    <n v="2392902"/>
    <n v="332"/>
    <n v="305425"/>
    <n v="18"/>
    <n v="24"/>
    <s v="Vehicle"/>
    <n v="0.32"/>
    <s v="North"/>
    <x v="2"/>
    <n v="0"/>
    <s v="Poor"/>
    <s v="Medium"/>
  </r>
  <r>
    <s v="LN0225"/>
    <d v="2023-10-26T00:00:00"/>
    <n v="24"/>
    <s v="Self-Employed"/>
    <n v="293161"/>
    <n v="643"/>
    <n v="293367"/>
    <n v="6"/>
    <n v="36"/>
    <s v="Home"/>
    <n v="0.42"/>
    <s v="South"/>
    <x v="2"/>
    <n v="1"/>
    <s v="Fair"/>
    <s v="High"/>
  </r>
  <r>
    <s v="LN0226"/>
    <d v="2024-10-23T00:00:00"/>
    <n v="53"/>
    <s v="Salaried"/>
    <n v="1410193"/>
    <n v="782"/>
    <n v="582304"/>
    <n v="17"/>
    <n v="36"/>
    <s v="Education"/>
    <n v="0.16"/>
    <s v="South"/>
    <x v="2"/>
    <n v="0"/>
    <s v="Excellent"/>
    <s v="Low"/>
  </r>
  <r>
    <s v="LN0227"/>
    <d v="2025-10-21T00:00:00"/>
    <n v="48"/>
    <s v="Business"/>
    <n v="485694"/>
    <n v="405"/>
    <n v="1606053"/>
    <n v="22"/>
    <n v="24"/>
    <s v="Vehicle"/>
    <n v="0.37"/>
    <s v="East"/>
    <x v="0"/>
    <n v="1"/>
    <s v="Poor"/>
    <s v="Medium"/>
  </r>
  <r>
    <s v="LN0228"/>
    <d v="2024-12-11T00:00:00"/>
    <n v="53"/>
    <s v="Salaried"/>
    <n v="2360636"/>
    <n v="428"/>
    <n v="1301400"/>
    <n v="24"/>
    <n v="36"/>
    <s v="Medical"/>
    <n v="0.52"/>
    <s v="West"/>
    <x v="2"/>
    <n v="1"/>
    <s v="Poor"/>
    <s v="High"/>
  </r>
  <r>
    <s v="LN0229"/>
    <d v="2023-09-05T00:00:00"/>
    <n v="61"/>
    <s v="Salaried"/>
    <n v="687920"/>
    <n v="479"/>
    <n v="1904582"/>
    <n v="18"/>
    <n v="60"/>
    <s v="Education"/>
    <n v="0.49"/>
    <s v="East"/>
    <x v="0"/>
    <n v="0"/>
    <s v="Poor"/>
    <s v="High"/>
  </r>
  <r>
    <s v="LN0230"/>
    <d v="2024-04-27T00:00:00"/>
    <n v="31"/>
    <s v="Self-Employed"/>
    <n v="2235062"/>
    <n v="310"/>
    <n v="1989383"/>
    <n v="8"/>
    <n v="24"/>
    <s v="Vehicle"/>
    <n v="0.19"/>
    <s v="West"/>
    <x v="3"/>
    <n v="1"/>
    <s v="Poor"/>
    <s v="Low"/>
  </r>
  <r>
    <s v="LN0231"/>
    <d v="2023-12-01T00:00:00"/>
    <n v="24"/>
    <s v="Business"/>
    <n v="1042393"/>
    <n v="366"/>
    <n v="736336"/>
    <n v="15"/>
    <n v="60"/>
    <s v="Medical"/>
    <n v="0.11"/>
    <s v="West"/>
    <x v="2"/>
    <n v="0"/>
    <s v="Poor"/>
    <s v="Low"/>
  </r>
  <r>
    <s v="LN0232"/>
    <d v="2025-02-07T00:00:00"/>
    <n v="29"/>
    <s v="Salaried"/>
    <n v="471142"/>
    <n v="311"/>
    <n v="1579225"/>
    <n v="20"/>
    <n v="60"/>
    <s v="Personal"/>
    <n v="0.2"/>
    <s v="North"/>
    <x v="2"/>
    <n v="0"/>
    <s v="Poor"/>
    <s v="Medium"/>
  </r>
  <r>
    <s v="LN0233"/>
    <d v="2023-01-17T00:00:00"/>
    <n v="34"/>
    <s v="Self-Employed"/>
    <n v="650331"/>
    <n v="812"/>
    <n v="1273985"/>
    <n v="22"/>
    <n v="24"/>
    <s v="Medical"/>
    <n v="0.13"/>
    <s v="South"/>
    <x v="1"/>
    <n v="0"/>
    <s v="Excellent"/>
    <s v="Low"/>
  </r>
  <r>
    <s v="LN0234"/>
    <d v="2024-04-19T00:00:00"/>
    <n v="28"/>
    <s v="Salaried"/>
    <n v="1538728"/>
    <n v="731"/>
    <n v="1538844"/>
    <n v="8"/>
    <n v="24"/>
    <s v="Home"/>
    <n v="0.18"/>
    <s v="South"/>
    <x v="3"/>
    <n v="0"/>
    <s v="Good"/>
    <s v="Low"/>
  </r>
  <r>
    <s v="LN0235"/>
    <d v="2024-12-07T00:00:00"/>
    <n v="23"/>
    <s v="Self-Employed"/>
    <n v="2378535"/>
    <n v="742"/>
    <n v="817972"/>
    <n v="17"/>
    <n v="36"/>
    <s v="Medical"/>
    <n v="0.25"/>
    <s v="East"/>
    <x v="0"/>
    <n v="1"/>
    <s v="Excellent"/>
    <s v="Medium"/>
  </r>
  <r>
    <s v="LN0236"/>
    <d v="2023-11-02T00:00:00"/>
    <n v="25"/>
    <s v="Salaried"/>
    <n v="542113"/>
    <n v="775"/>
    <n v="541458"/>
    <n v="21"/>
    <n v="24"/>
    <s v="Education"/>
    <n v="0.33"/>
    <s v="North"/>
    <x v="3"/>
    <n v="0"/>
    <s v="Excellent"/>
    <s v="Medium"/>
  </r>
  <r>
    <s v="LN0237"/>
    <d v="2023-10-04T00:00:00"/>
    <n v="40"/>
    <s v="Self-Employed"/>
    <n v="2208627"/>
    <n v="395"/>
    <n v="1027797"/>
    <n v="10"/>
    <n v="12"/>
    <s v="Personal"/>
    <n v="0.13"/>
    <s v="East"/>
    <x v="0"/>
    <n v="0"/>
    <s v="Poor"/>
    <s v="Low"/>
  </r>
  <r>
    <s v="LN0238"/>
    <d v="2024-12-02T00:00:00"/>
    <n v="24"/>
    <s v="Self-Employed"/>
    <n v="1589093"/>
    <n v="514"/>
    <n v="711454"/>
    <n v="17"/>
    <n v="36"/>
    <s v="Business"/>
    <n v="0.52"/>
    <s v="East"/>
    <x v="1"/>
    <n v="1"/>
    <s v="Poor"/>
    <s v="High"/>
  </r>
  <r>
    <s v="LN0239"/>
    <d v="2025-01-24T00:00:00"/>
    <n v="58"/>
    <s v="Self-Employed"/>
    <n v="367198"/>
    <n v="367"/>
    <n v="1315444"/>
    <n v="13"/>
    <n v="24"/>
    <s v="Home"/>
    <n v="0.19"/>
    <s v="North"/>
    <x v="1"/>
    <n v="0"/>
    <s v="Poor"/>
    <s v="Low"/>
  </r>
  <r>
    <s v="LN0240"/>
    <d v="2024-09-11T00:00:00"/>
    <n v="53"/>
    <s v="Self-Employed"/>
    <n v="1340904"/>
    <n v="672"/>
    <n v="1232094"/>
    <n v="15"/>
    <n v="12"/>
    <s v="Vehicle"/>
    <n v="0.25"/>
    <s v="North"/>
    <x v="3"/>
    <n v="0"/>
    <s v="Good"/>
    <s v="Medium"/>
  </r>
  <r>
    <s v="LN0241"/>
    <d v="2023-11-30T00:00:00"/>
    <n v="42"/>
    <s v="Self-Employed"/>
    <n v="2087027"/>
    <n v="678"/>
    <n v="1177870"/>
    <n v="7"/>
    <n v="60"/>
    <s v="Home"/>
    <n v="0.14"/>
    <s v="West"/>
    <x v="3"/>
    <n v="0"/>
    <s v="Good"/>
    <s v="Low"/>
  </r>
  <r>
    <s v="LN0242"/>
    <d v="2024-11-25T00:00:00"/>
    <n v="25"/>
    <s v="Salaried"/>
    <n v="1673493"/>
    <n v="767"/>
    <n v="574826"/>
    <n v="18"/>
    <n v="12"/>
    <s v="Medical"/>
    <n v="0.38"/>
    <s v="West"/>
    <x v="3"/>
    <n v="0"/>
    <s v="Excellent"/>
    <s v="Medium"/>
  </r>
  <r>
    <s v="LN0243"/>
    <d v="2023-06-01T00:00:00"/>
    <n v="52"/>
    <s v="Business"/>
    <n v="321920"/>
    <n v="849"/>
    <n v="1832590"/>
    <n v="10"/>
    <n v="36"/>
    <s v="Education"/>
    <n v="0.4"/>
    <s v="South"/>
    <x v="1"/>
    <n v="0"/>
    <s v="Excellent"/>
    <s v="High"/>
  </r>
  <r>
    <s v="LN0244"/>
    <d v="2025-09-09T00:00:00"/>
    <n v="36"/>
    <s v="Self-Employed"/>
    <n v="1698229"/>
    <n v="633"/>
    <n v="1315288"/>
    <n v="14"/>
    <n v="60"/>
    <s v="Education"/>
    <n v="0.11"/>
    <s v="South"/>
    <x v="3"/>
    <n v="0"/>
    <s v="Fair"/>
    <s v="Low"/>
  </r>
  <r>
    <s v="LN0245"/>
    <d v="2023-05-10T00:00:00"/>
    <n v="56"/>
    <s v="Salaried"/>
    <n v="513186"/>
    <n v="481"/>
    <n v="638915"/>
    <n v="21"/>
    <n v="24"/>
    <s v="Home"/>
    <n v="0.59"/>
    <s v="West"/>
    <x v="0"/>
    <n v="1"/>
    <s v="Poor"/>
    <s v="High"/>
  </r>
  <r>
    <s v="LN0246"/>
    <d v="2025-03-17T00:00:00"/>
    <n v="64"/>
    <s v="Self-Employed"/>
    <n v="2287846"/>
    <n v="576"/>
    <n v="1862095"/>
    <n v="17"/>
    <n v="60"/>
    <s v="Home"/>
    <n v="0.53"/>
    <s v="South"/>
    <x v="3"/>
    <n v="1"/>
    <s v="Poor"/>
    <s v="High"/>
  </r>
  <r>
    <s v="LN0247"/>
    <d v="2023-10-21T00:00:00"/>
    <n v="49"/>
    <s v="Self-Employed"/>
    <n v="1833822"/>
    <n v="833"/>
    <n v="1081672"/>
    <n v="17"/>
    <n v="24"/>
    <s v="Vehicle"/>
    <n v="0.44"/>
    <s v="Central"/>
    <x v="0"/>
    <n v="0"/>
    <s v="Excellent"/>
    <s v="High"/>
  </r>
  <r>
    <s v="LN0248"/>
    <d v="2023-07-23T00:00:00"/>
    <n v="38"/>
    <s v="Business"/>
    <n v="795851"/>
    <n v="317"/>
    <n v="295677"/>
    <n v="12"/>
    <n v="36"/>
    <s v="Home"/>
    <n v="0.46"/>
    <s v="West"/>
    <x v="3"/>
    <n v="1"/>
    <s v="Poor"/>
    <s v="High"/>
  </r>
  <r>
    <s v="LN0249"/>
    <d v="2024-07-18T00:00:00"/>
    <n v="64"/>
    <s v="Business"/>
    <n v="1778223"/>
    <n v="762"/>
    <n v="1455373"/>
    <n v="24"/>
    <n v="36"/>
    <s v="Personal"/>
    <n v="0.25"/>
    <s v="North"/>
    <x v="1"/>
    <n v="0"/>
    <s v="Excellent"/>
    <s v="Medium"/>
  </r>
  <r>
    <s v="LN0250"/>
    <d v="2024-02-11T00:00:00"/>
    <n v="37"/>
    <s v="Self-Employed"/>
    <n v="386157"/>
    <n v="607"/>
    <n v="744297"/>
    <n v="7"/>
    <n v="12"/>
    <s v="Personal"/>
    <n v="0.44"/>
    <s v="Central"/>
    <x v="0"/>
    <n v="0"/>
    <s v="Fair"/>
    <s v="High"/>
  </r>
  <r>
    <s v="LN0251"/>
    <d v="2023-04-08T00:00:00"/>
    <n v="37"/>
    <s v="Business"/>
    <n v="1968695"/>
    <n v="441"/>
    <n v="830901"/>
    <n v="24"/>
    <n v="12"/>
    <s v="Vehicle"/>
    <n v="0.12"/>
    <s v="West"/>
    <x v="1"/>
    <n v="0"/>
    <s v="Poor"/>
    <s v="Low"/>
  </r>
  <r>
    <s v="LN0252"/>
    <d v="2024-04-06T00:00:00"/>
    <n v="57"/>
    <s v="Salaried"/>
    <n v="722787"/>
    <n v="482"/>
    <n v="1796199"/>
    <n v="24"/>
    <n v="36"/>
    <s v="Business"/>
    <n v="0.16"/>
    <s v="East"/>
    <x v="0"/>
    <n v="1"/>
    <s v="Poor"/>
    <s v="Low"/>
  </r>
  <r>
    <s v="LN0253"/>
    <d v="2023-11-01T00:00:00"/>
    <n v="30"/>
    <s v="Business"/>
    <n v="413624"/>
    <n v="646"/>
    <n v="1363622"/>
    <n v="20"/>
    <n v="24"/>
    <s v="Personal"/>
    <n v="0.46"/>
    <s v="East"/>
    <x v="3"/>
    <n v="0"/>
    <s v="Fair"/>
    <s v="High"/>
  </r>
  <r>
    <s v="LN0254"/>
    <d v="2024-07-30T00:00:00"/>
    <n v="31"/>
    <s v="Salaried"/>
    <n v="283694"/>
    <n v="597"/>
    <n v="1751041"/>
    <n v="8"/>
    <n v="60"/>
    <s v="Education"/>
    <n v="0.27"/>
    <s v="South"/>
    <x v="0"/>
    <n v="0"/>
    <s v="Fair"/>
    <s v="Medium"/>
  </r>
  <r>
    <s v="LN0255"/>
    <d v="2025-09-11T00:00:00"/>
    <n v="45"/>
    <s v="Self-Employed"/>
    <n v="928266"/>
    <n v="390"/>
    <n v="1174234"/>
    <n v="20"/>
    <n v="36"/>
    <s v="Medical"/>
    <n v="0.35"/>
    <s v="South"/>
    <x v="0"/>
    <n v="1"/>
    <s v="Poor"/>
    <s v="Medium"/>
  </r>
  <r>
    <s v="LN0256"/>
    <d v="2025-09-04T00:00:00"/>
    <n v="50"/>
    <s v="Salaried"/>
    <n v="1332815"/>
    <n v="791"/>
    <n v="1225759"/>
    <n v="15"/>
    <n v="36"/>
    <s v="Vehicle"/>
    <n v="0.42"/>
    <s v="East"/>
    <x v="0"/>
    <n v="0"/>
    <s v="Excellent"/>
    <s v="High"/>
  </r>
  <r>
    <s v="LN0257"/>
    <d v="2024-06-01T00:00:00"/>
    <n v="51"/>
    <s v="Salaried"/>
    <n v="1920211"/>
    <n v="367"/>
    <n v="221745"/>
    <n v="12"/>
    <n v="36"/>
    <s v="Home"/>
    <n v="0.39"/>
    <s v="South"/>
    <x v="0"/>
    <n v="0"/>
    <s v="Poor"/>
    <s v="Medium"/>
  </r>
  <r>
    <s v="LN0258"/>
    <d v="2024-01-31T00:00:00"/>
    <n v="26"/>
    <s v="Self-Employed"/>
    <n v="839365"/>
    <n v="606"/>
    <n v="1081048"/>
    <n v="9"/>
    <n v="36"/>
    <s v="Home"/>
    <n v="0.39"/>
    <s v="North"/>
    <x v="1"/>
    <n v="0"/>
    <s v="Fair"/>
    <s v="Medium"/>
  </r>
  <r>
    <s v="LN0259"/>
    <d v="2023-07-28T00:00:00"/>
    <n v="27"/>
    <s v="Salaried"/>
    <n v="614349"/>
    <n v="638"/>
    <n v="505586"/>
    <n v="14"/>
    <n v="60"/>
    <s v="Education"/>
    <n v="0.48"/>
    <s v="East"/>
    <x v="3"/>
    <n v="0"/>
    <s v="Fair"/>
    <s v="High"/>
  </r>
  <r>
    <s v="LN0260"/>
    <d v="2025-02-23T00:00:00"/>
    <n v="45"/>
    <s v="Salaried"/>
    <n v="2252579"/>
    <n v="641"/>
    <n v="632375"/>
    <n v="17"/>
    <n v="60"/>
    <s v="Vehicle"/>
    <n v="0.43"/>
    <s v="East"/>
    <x v="0"/>
    <n v="0"/>
    <s v="Fair"/>
    <s v="High"/>
  </r>
  <r>
    <s v="LN0261"/>
    <d v="2024-12-13T00:00:00"/>
    <n v="52"/>
    <s v="Salaried"/>
    <n v="1446085"/>
    <n v="454"/>
    <n v="1528644"/>
    <n v="7"/>
    <n v="12"/>
    <s v="Education"/>
    <n v="0.52"/>
    <s v="South"/>
    <x v="2"/>
    <n v="1"/>
    <s v="Poor"/>
    <s v="High"/>
  </r>
  <r>
    <s v="LN0262"/>
    <d v="2023-11-03T00:00:00"/>
    <n v="59"/>
    <s v="Salaried"/>
    <n v="1125268"/>
    <n v="646"/>
    <n v="312147"/>
    <n v="10"/>
    <n v="24"/>
    <s v="Medical"/>
    <n v="0.5600000000000001"/>
    <s v="East"/>
    <x v="0"/>
    <n v="0"/>
    <s v="Fair"/>
    <s v="High"/>
  </r>
  <r>
    <s v="LN0263"/>
    <d v="2023-01-16T00:00:00"/>
    <n v="55"/>
    <s v="Self-Employed"/>
    <n v="1983860"/>
    <n v="312"/>
    <n v="1978558"/>
    <n v="8"/>
    <n v="60"/>
    <s v="Education"/>
    <n v="0.43"/>
    <s v="North"/>
    <x v="3"/>
    <n v="1"/>
    <s v="Poor"/>
    <s v="High"/>
  </r>
  <r>
    <s v="LN0264"/>
    <d v="2025-12-15T00:00:00"/>
    <n v="64"/>
    <s v="Self-Employed"/>
    <n v="1752099"/>
    <n v="828"/>
    <n v="633196"/>
    <n v="9"/>
    <n v="36"/>
    <s v="Medical"/>
    <n v="0.51"/>
    <s v="North"/>
    <x v="3"/>
    <n v="0"/>
    <s v="Excellent"/>
    <s v="High"/>
  </r>
  <r>
    <s v="LN0265"/>
    <d v="2023-01-16T00:00:00"/>
    <n v="40"/>
    <s v="Salaried"/>
    <n v="1888996"/>
    <n v="806"/>
    <n v="1275166"/>
    <n v="18"/>
    <n v="36"/>
    <s v="Medical"/>
    <n v="0.6"/>
    <s v="Central"/>
    <x v="1"/>
    <n v="1"/>
    <s v="Excellent"/>
    <s v="High"/>
  </r>
  <r>
    <s v="LN0266"/>
    <d v="2024-05-23T00:00:00"/>
    <n v="57"/>
    <s v="Business"/>
    <n v="1452650"/>
    <n v="569"/>
    <n v="1037545"/>
    <n v="21"/>
    <n v="36"/>
    <s v="Vehicle"/>
    <n v="0.22"/>
    <s v="East"/>
    <x v="2"/>
    <n v="0"/>
    <s v="Poor"/>
    <s v="Medium"/>
  </r>
  <r>
    <s v="LN0267"/>
    <d v="2025-06-01T00:00:00"/>
    <n v="26"/>
    <s v="Self-Employed"/>
    <n v="588985"/>
    <n v="715"/>
    <n v="1563680"/>
    <n v="17"/>
    <n v="24"/>
    <s v="Education"/>
    <n v="0.1"/>
    <s v="West"/>
    <x v="0"/>
    <n v="0"/>
    <s v="Good"/>
    <s v="Low"/>
  </r>
  <r>
    <s v="LN0268"/>
    <d v="2024-06-26T00:00:00"/>
    <n v="21"/>
    <s v="Salaried"/>
    <n v="2085081"/>
    <n v="646"/>
    <n v="218566"/>
    <n v="10"/>
    <n v="36"/>
    <s v="Vehicle"/>
    <n v="0.6"/>
    <s v="West"/>
    <x v="2"/>
    <n v="0"/>
    <s v="Fair"/>
    <s v="High"/>
  </r>
  <r>
    <s v="LN0269"/>
    <d v="2024-01-07T00:00:00"/>
    <n v="46"/>
    <s v="Salaried"/>
    <n v="1703619"/>
    <n v="413"/>
    <n v="682632"/>
    <n v="18"/>
    <n v="12"/>
    <s v="Home"/>
    <n v="0.2"/>
    <s v="North"/>
    <x v="3"/>
    <n v="0"/>
    <s v="Poor"/>
    <s v="Medium"/>
  </r>
  <r>
    <s v="LN0270"/>
    <d v="2024-05-24T00:00:00"/>
    <n v="48"/>
    <s v="Business"/>
    <n v="265790"/>
    <n v="643"/>
    <n v="1089900"/>
    <n v="24"/>
    <n v="24"/>
    <s v="Vehicle"/>
    <n v="0.46"/>
    <s v="Central"/>
    <x v="1"/>
    <n v="0"/>
    <s v="Fair"/>
    <s v="High"/>
  </r>
  <r>
    <s v="LN0271"/>
    <d v="2023-08-16T00:00:00"/>
    <n v="27"/>
    <s v="Business"/>
    <n v="2361593"/>
    <n v="653"/>
    <n v="124803"/>
    <n v="13"/>
    <n v="24"/>
    <s v="Personal"/>
    <n v="0.36"/>
    <s v="East"/>
    <x v="1"/>
    <n v="0"/>
    <s v="Fair"/>
    <s v="Medium"/>
  </r>
  <r>
    <s v="LN0272"/>
    <d v="2025-09-30T00:00:00"/>
    <n v="26"/>
    <s v="Self-Employed"/>
    <n v="1425981"/>
    <n v="812"/>
    <n v="766596"/>
    <n v="17"/>
    <n v="24"/>
    <s v="Home"/>
    <n v="0.12"/>
    <s v="West"/>
    <x v="2"/>
    <n v="0"/>
    <s v="Excellent"/>
    <s v="Low"/>
  </r>
  <r>
    <s v="LN0273"/>
    <d v="2024-09-30T00:00:00"/>
    <n v="62"/>
    <s v="Self-Employed"/>
    <n v="285439"/>
    <n v="585"/>
    <n v="1916896"/>
    <n v="14"/>
    <n v="12"/>
    <s v="Vehicle"/>
    <n v="0.18"/>
    <s v="South"/>
    <x v="1"/>
    <n v="0"/>
    <s v="Fair"/>
    <s v="Low"/>
  </r>
  <r>
    <s v="LN0274"/>
    <d v="2024-04-19T00:00:00"/>
    <n v="56"/>
    <s v="Salaried"/>
    <n v="1229827"/>
    <n v="396"/>
    <n v="1224114"/>
    <n v="19"/>
    <n v="60"/>
    <s v="Personal"/>
    <n v="0.59"/>
    <s v="East"/>
    <x v="1"/>
    <n v="1"/>
    <s v="Poor"/>
    <s v="High"/>
  </r>
  <r>
    <s v="LN0275"/>
    <d v="2023-02-09T00:00:00"/>
    <n v="28"/>
    <s v="Business"/>
    <n v="1944758"/>
    <n v="447"/>
    <n v="1937368"/>
    <n v="17"/>
    <n v="24"/>
    <s v="Personal"/>
    <n v="0.31"/>
    <s v="East"/>
    <x v="3"/>
    <n v="1"/>
    <s v="Poor"/>
    <s v="Medium"/>
  </r>
  <r>
    <s v="LN0276"/>
    <d v="2024-10-07T00:00:00"/>
    <n v="25"/>
    <s v="Business"/>
    <n v="1763240"/>
    <n v="453"/>
    <n v="495446"/>
    <n v="7"/>
    <n v="60"/>
    <s v="Vehicle"/>
    <n v="0.13"/>
    <s v="Central"/>
    <x v="3"/>
    <n v="0"/>
    <s v="Poor"/>
    <s v="Low"/>
  </r>
  <r>
    <s v="LN0277"/>
    <d v="2023-12-09T00:00:00"/>
    <n v="26"/>
    <s v="Salaried"/>
    <n v="1999001"/>
    <n v="675"/>
    <n v="494340"/>
    <n v="23"/>
    <n v="36"/>
    <s v="Business"/>
    <n v="0.52"/>
    <s v="Central"/>
    <x v="0"/>
    <n v="0"/>
    <s v="Good"/>
    <s v="High"/>
  </r>
  <r>
    <s v="LN0278"/>
    <d v="2023-05-24T00:00:00"/>
    <n v="52"/>
    <s v="Salaried"/>
    <n v="297745"/>
    <n v="448"/>
    <n v="1399856"/>
    <n v="19"/>
    <n v="60"/>
    <s v="Personal"/>
    <n v="0.13"/>
    <s v="South"/>
    <x v="0"/>
    <n v="0"/>
    <s v="Poor"/>
    <s v="Low"/>
  </r>
  <r>
    <s v="LN0279"/>
    <d v="2023-04-18T00:00:00"/>
    <n v="58"/>
    <s v="Self-Employed"/>
    <n v="815868"/>
    <n v="830"/>
    <n v="1025151"/>
    <n v="15"/>
    <n v="36"/>
    <s v="Vehicle"/>
    <n v="0.15"/>
    <s v="South"/>
    <x v="3"/>
    <n v="0"/>
    <s v="Excellent"/>
    <s v="Low"/>
  </r>
  <r>
    <s v="LN0280"/>
    <d v="2025-03-04T00:00:00"/>
    <n v="44"/>
    <s v="Business"/>
    <n v="2015095"/>
    <n v="570"/>
    <n v="1979671"/>
    <n v="19"/>
    <n v="60"/>
    <s v="Home"/>
    <n v="0.32"/>
    <s v="North"/>
    <x v="2"/>
    <n v="0"/>
    <s v="Poor"/>
    <s v="Medium"/>
  </r>
  <r>
    <s v="LN0281"/>
    <d v="2023-09-14T00:00:00"/>
    <n v="24"/>
    <s v="Self-Employed"/>
    <n v="624148"/>
    <n v="413"/>
    <n v="991278"/>
    <n v="11"/>
    <n v="36"/>
    <s v="Medical"/>
    <n v="0.54"/>
    <s v="West"/>
    <x v="1"/>
    <n v="1"/>
    <s v="Poor"/>
    <s v="High"/>
  </r>
  <r>
    <s v="LN0282"/>
    <d v="2023-10-01T00:00:00"/>
    <n v="49"/>
    <s v="Salaried"/>
    <n v="1042097"/>
    <n v="699"/>
    <n v="980950"/>
    <n v="7"/>
    <n v="60"/>
    <s v="Education"/>
    <n v="0.28"/>
    <s v="North"/>
    <x v="3"/>
    <n v="0"/>
    <s v="Good"/>
    <s v="Medium"/>
  </r>
  <r>
    <s v="LN0283"/>
    <d v="2025-04-26T00:00:00"/>
    <n v="55"/>
    <s v="Self-Employed"/>
    <n v="1663498"/>
    <n v="845"/>
    <n v="1654158"/>
    <n v="9"/>
    <n v="12"/>
    <s v="Education"/>
    <n v="0.19"/>
    <s v="North"/>
    <x v="1"/>
    <n v="0"/>
    <s v="Excellent"/>
    <s v="Low"/>
  </r>
  <r>
    <s v="LN0284"/>
    <d v="2025-10-07T00:00:00"/>
    <n v="25"/>
    <s v="Business"/>
    <n v="409920"/>
    <n v="777"/>
    <n v="1296299"/>
    <n v="22"/>
    <n v="60"/>
    <s v="Home"/>
    <n v="0.57"/>
    <s v="East"/>
    <x v="1"/>
    <n v="1"/>
    <s v="Excellent"/>
    <s v="High"/>
  </r>
  <r>
    <s v="LN0285"/>
    <d v="2024-06-07T00:00:00"/>
    <n v="64"/>
    <s v="Salaried"/>
    <n v="1410027"/>
    <n v="452"/>
    <n v="63242"/>
    <n v="7"/>
    <n v="24"/>
    <s v="Medical"/>
    <n v="0.4"/>
    <s v="South"/>
    <x v="0"/>
    <n v="0"/>
    <s v="Poor"/>
    <s v="High"/>
  </r>
  <r>
    <s v="LN0286"/>
    <d v="2023-08-14T00:00:00"/>
    <n v="55"/>
    <s v="Salaried"/>
    <n v="868473"/>
    <n v="599"/>
    <n v="1998404"/>
    <n v="16"/>
    <n v="60"/>
    <s v="Education"/>
    <n v="0.42"/>
    <s v="Central"/>
    <x v="3"/>
    <n v="0"/>
    <s v="Fair"/>
    <s v="High"/>
  </r>
  <r>
    <s v="LN0287"/>
    <d v="2024-05-21T00:00:00"/>
    <n v="55"/>
    <s v="Self-Employed"/>
    <n v="1544068"/>
    <n v="360"/>
    <n v="403357"/>
    <n v="15"/>
    <n v="12"/>
    <s v="Medical"/>
    <n v="0.5600000000000001"/>
    <s v="North"/>
    <x v="0"/>
    <n v="1"/>
    <s v="Poor"/>
    <s v="High"/>
  </r>
  <r>
    <s v="LN0288"/>
    <d v="2023-07-14T00:00:00"/>
    <n v="22"/>
    <s v="Self-Employed"/>
    <n v="2275665"/>
    <n v="447"/>
    <n v="330633"/>
    <n v="12"/>
    <n v="24"/>
    <s v="Medical"/>
    <n v="0.58"/>
    <s v="Central"/>
    <x v="1"/>
    <n v="0"/>
    <s v="Poor"/>
    <s v="High"/>
  </r>
  <r>
    <s v="LN0289"/>
    <d v="2025-12-17T00:00:00"/>
    <n v="40"/>
    <s v="Business"/>
    <n v="1724108"/>
    <n v="487"/>
    <n v="1962143"/>
    <n v="7"/>
    <n v="60"/>
    <s v="Business"/>
    <n v="0.6"/>
    <s v="South"/>
    <x v="0"/>
    <n v="1"/>
    <s v="Poor"/>
    <s v="High"/>
  </r>
  <r>
    <s v="LN0290"/>
    <d v="2024-04-04T00:00:00"/>
    <n v="21"/>
    <s v="Salaried"/>
    <n v="1067539"/>
    <n v="559"/>
    <n v="190681"/>
    <n v="20"/>
    <n v="24"/>
    <s v="Home"/>
    <n v="0.39"/>
    <s v="South"/>
    <x v="3"/>
    <n v="0"/>
    <s v="Poor"/>
    <s v="Medium"/>
  </r>
  <r>
    <s v="LN0291"/>
    <d v="2024-06-29T00:00:00"/>
    <n v="64"/>
    <s v="Business"/>
    <n v="2339200"/>
    <n v="617"/>
    <n v="1001952"/>
    <n v="15"/>
    <n v="12"/>
    <s v="Home"/>
    <n v="0.6"/>
    <s v="North"/>
    <x v="1"/>
    <n v="1"/>
    <s v="Fair"/>
    <s v="High"/>
  </r>
  <r>
    <s v="LN0292"/>
    <d v="2023-11-20T00:00:00"/>
    <n v="27"/>
    <s v="Self-Employed"/>
    <n v="557702"/>
    <n v="722"/>
    <n v="267138"/>
    <n v="24"/>
    <n v="60"/>
    <s v="Vehicle"/>
    <n v="0.4"/>
    <s v="East"/>
    <x v="0"/>
    <n v="0"/>
    <s v="Good"/>
    <s v="High"/>
  </r>
  <r>
    <s v="LN0293"/>
    <d v="2024-08-01T00:00:00"/>
    <n v="26"/>
    <s v="Self-Employed"/>
    <n v="1806622"/>
    <n v="564"/>
    <n v="1198524"/>
    <n v="24"/>
    <n v="12"/>
    <s v="Business"/>
    <n v="0.25"/>
    <s v="West"/>
    <x v="2"/>
    <n v="0"/>
    <s v="Poor"/>
    <s v="Medium"/>
  </r>
  <r>
    <s v="LN0294"/>
    <d v="2024-05-27T00:00:00"/>
    <n v="47"/>
    <s v="Salaried"/>
    <n v="1000265"/>
    <n v="797"/>
    <n v="418544"/>
    <n v="12"/>
    <n v="60"/>
    <s v="Medical"/>
    <n v="0.13"/>
    <s v="West"/>
    <x v="3"/>
    <n v="0"/>
    <s v="Excellent"/>
    <s v="Low"/>
  </r>
  <r>
    <s v="LN0295"/>
    <d v="2023-12-04T00:00:00"/>
    <n v="62"/>
    <s v="Self-Employed"/>
    <n v="1145289"/>
    <n v="831"/>
    <n v="841234"/>
    <n v="20"/>
    <n v="36"/>
    <s v="Medical"/>
    <n v="0.6"/>
    <s v="North"/>
    <x v="3"/>
    <n v="0"/>
    <s v="Excellent"/>
    <s v="High"/>
  </r>
  <r>
    <s v="LN0296"/>
    <d v="2024-09-10T00:00:00"/>
    <n v="27"/>
    <s v="Business"/>
    <n v="2110426"/>
    <n v="626"/>
    <n v="147185"/>
    <n v="23"/>
    <n v="24"/>
    <s v="Education"/>
    <n v="0.36"/>
    <s v="Central"/>
    <x v="0"/>
    <n v="1"/>
    <s v="Fair"/>
    <s v="Medium"/>
  </r>
  <r>
    <s v="LN0297"/>
    <d v="2024-07-07T00:00:00"/>
    <n v="45"/>
    <s v="Self-Employed"/>
    <n v="1614520"/>
    <n v="530"/>
    <n v="1112588"/>
    <n v="23"/>
    <n v="24"/>
    <s v="Vehicle"/>
    <n v="0.5"/>
    <s v="Central"/>
    <x v="0"/>
    <n v="0"/>
    <s v="Poor"/>
    <s v="High"/>
  </r>
  <r>
    <s v="LN0298"/>
    <d v="2024-08-19T00:00:00"/>
    <n v="63"/>
    <s v="Self-Employed"/>
    <n v="373832"/>
    <n v="332"/>
    <n v="1956499"/>
    <n v="19"/>
    <n v="36"/>
    <s v="Medical"/>
    <n v="0.6"/>
    <s v="North"/>
    <x v="1"/>
    <n v="0"/>
    <s v="Poor"/>
    <s v="High"/>
  </r>
  <r>
    <s v="LN0299"/>
    <d v="2025-04-25T00:00:00"/>
    <n v="27"/>
    <s v="Self-Employed"/>
    <n v="825515"/>
    <n v="313"/>
    <n v="1948288"/>
    <n v="12"/>
    <n v="24"/>
    <s v="Medical"/>
    <n v="0.13"/>
    <s v="Central"/>
    <x v="2"/>
    <n v="1"/>
    <s v="Poor"/>
    <s v="Low"/>
  </r>
  <r>
    <s v="LN0300"/>
    <d v="2024-05-06T00:00:00"/>
    <n v="27"/>
    <s v="Salaried"/>
    <n v="2187459"/>
    <n v="312"/>
    <n v="1787953"/>
    <n v="13"/>
    <n v="12"/>
    <s v="Business"/>
    <n v="0.54"/>
    <s v="East"/>
    <x v="1"/>
    <n v="1"/>
    <s v="Poor"/>
    <s v="High"/>
  </r>
  <r>
    <s v="LN0301"/>
    <d v="2024-01-29T00:00:00"/>
    <n v="44"/>
    <s v="Salaried"/>
    <n v="695876"/>
    <n v="599"/>
    <n v="1413713"/>
    <n v="10"/>
    <n v="36"/>
    <s v="Personal"/>
    <n v="0.12"/>
    <s v="North"/>
    <x v="1"/>
    <n v="0"/>
    <s v="Fair"/>
    <s v="Low"/>
  </r>
  <r>
    <s v="LN0302"/>
    <d v="2024-11-30T00:00:00"/>
    <n v="50"/>
    <s v="Salaried"/>
    <n v="1894789"/>
    <n v="379"/>
    <n v="1072989"/>
    <n v="9"/>
    <n v="36"/>
    <s v="Home"/>
    <n v="0.22"/>
    <s v="South"/>
    <x v="3"/>
    <n v="0"/>
    <s v="Poor"/>
    <s v="Medium"/>
  </r>
  <r>
    <s v="LN0303"/>
    <d v="2023-01-05T00:00:00"/>
    <n v="23"/>
    <s v="Self-Employed"/>
    <n v="377134"/>
    <n v="830"/>
    <n v="427740"/>
    <n v="15"/>
    <n v="60"/>
    <s v="Education"/>
    <n v="0.21"/>
    <s v="Central"/>
    <x v="3"/>
    <n v="0"/>
    <s v="Excellent"/>
    <s v="Medium"/>
  </r>
  <r>
    <s v="LN0304"/>
    <d v="2025-06-12T00:00:00"/>
    <n v="41"/>
    <s v="Self-Employed"/>
    <n v="1305249"/>
    <n v="622"/>
    <n v="1752955"/>
    <n v="6"/>
    <n v="60"/>
    <s v="Personal"/>
    <n v="0.49"/>
    <s v="Central"/>
    <x v="3"/>
    <n v="1"/>
    <s v="Fair"/>
    <s v="High"/>
  </r>
  <r>
    <s v="LN0305"/>
    <d v="2024-12-30T00:00:00"/>
    <n v="31"/>
    <s v="Self-Employed"/>
    <n v="1213826"/>
    <n v="401"/>
    <n v="1240645"/>
    <n v="8"/>
    <n v="24"/>
    <s v="Medical"/>
    <n v="0.13"/>
    <s v="North"/>
    <x v="1"/>
    <n v="0"/>
    <s v="Poor"/>
    <s v="Low"/>
  </r>
  <r>
    <s v="LN0306"/>
    <d v="2024-02-03T00:00:00"/>
    <n v="58"/>
    <s v="Salaried"/>
    <n v="1008759"/>
    <n v="715"/>
    <n v="154795"/>
    <n v="12"/>
    <n v="24"/>
    <s v="Medical"/>
    <n v="0.59"/>
    <s v="East"/>
    <x v="0"/>
    <n v="0"/>
    <s v="Good"/>
    <s v="High"/>
  </r>
  <r>
    <s v="LN0307"/>
    <d v="2024-11-06T00:00:00"/>
    <n v="57"/>
    <s v="Business"/>
    <n v="320066"/>
    <n v="644"/>
    <n v="176620"/>
    <n v="13"/>
    <n v="60"/>
    <s v="Vehicle"/>
    <n v="0.34"/>
    <s v="East"/>
    <x v="2"/>
    <n v="0"/>
    <s v="Fair"/>
    <s v="Medium"/>
  </r>
  <r>
    <s v="LN0308"/>
    <d v="2025-02-20T00:00:00"/>
    <n v="36"/>
    <s v="Self-Employed"/>
    <n v="1273338"/>
    <n v="839"/>
    <n v="1342337"/>
    <n v="11"/>
    <n v="24"/>
    <s v="Vehicle"/>
    <n v="0.49"/>
    <s v="North"/>
    <x v="3"/>
    <n v="0"/>
    <s v="Excellent"/>
    <s v="High"/>
  </r>
  <r>
    <s v="LN0309"/>
    <d v="2024-06-08T00:00:00"/>
    <n v="38"/>
    <s v="Self-Employed"/>
    <n v="2357114"/>
    <n v="405"/>
    <n v="635345"/>
    <n v="13"/>
    <n v="60"/>
    <s v="Education"/>
    <n v="0.29"/>
    <s v="South"/>
    <x v="2"/>
    <n v="0"/>
    <s v="Poor"/>
    <s v="Medium"/>
  </r>
  <r>
    <s v="LN0310"/>
    <d v="2023-01-30T00:00:00"/>
    <n v="38"/>
    <s v="Self-Employed"/>
    <n v="743093"/>
    <n v="540"/>
    <n v="1996619"/>
    <n v="21"/>
    <n v="24"/>
    <s v="Business"/>
    <n v="0.32"/>
    <s v="East"/>
    <x v="0"/>
    <n v="1"/>
    <s v="Poor"/>
    <s v="Medium"/>
  </r>
  <r>
    <s v="LN0311"/>
    <d v="2025-01-31T00:00:00"/>
    <n v="57"/>
    <s v="Self-Employed"/>
    <n v="834651"/>
    <n v="629"/>
    <n v="1266928"/>
    <n v="10"/>
    <n v="12"/>
    <s v="Business"/>
    <n v="0.47"/>
    <s v="South"/>
    <x v="2"/>
    <n v="0"/>
    <s v="Fair"/>
    <s v="High"/>
  </r>
  <r>
    <s v="LN0312"/>
    <d v="2025-10-06T00:00:00"/>
    <n v="22"/>
    <s v="Self-Employed"/>
    <n v="1491025"/>
    <n v="388"/>
    <n v="1693877"/>
    <n v="21"/>
    <n v="36"/>
    <s v="Personal"/>
    <n v="0.51"/>
    <s v="East"/>
    <x v="1"/>
    <n v="1"/>
    <s v="Poor"/>
    <s v="High"/>
  </r>
  <r>
    <s v="LN0313"/>
    <d v="2025-08-10T00:00:00"/>
    <n v="40"/>
    <s v="Business"/>
    <n v="1893853"/>
    <n v="493"/>
    <n v="83367"/>
    <n v="21"/>
    <n v="36"/>
    <s v="Home"/>
    <n v="0.48"/>
    <s v="North"/>
    <x v="0"/>
    <n v="1"/>
    <s v="Poor"/>
    <s v="High"/>
  </r>
  <r>
    <s v="LN0314"/>
    <d v="2025-11-20T00:00:00"/>
    <n v="51"/>
    <s v="Self-Employed"/>
    <n v="570955"/>
    <n v="733"/>
    <n v="1722907"/>
    <n v="21"/>
    <n v="24"/>
    <s v="Medical"/>
    <n v="0.19"/>
    <s v="East"/>
    <x v="3"/>
    <n v="1"/>
    <s v="Good"/>
    <s v="Low"/>
  </r>
  <r>
    <s v="LN0315"/>
    <d v="2024-05-19T00:00:00"/>
    <n v="39"/>
    <s v="Self-Employed"/>
    <n v="1932643"/>
    <n v="803"/>
    <n v="968771"/>
    <n v="10"/>
    <n v="24"/>
    <s v="Vehicle"/>
    <n v="0.35"/>
    <s v="North"/>
    <x v="2"/>
    <n v="0"/>
    <s v="Excellent"/>
    <s v="Medium"/>
  </r>
  <r>
    <s v="LN0316"/>
    <d v="2024-09-25T00:00:00"/>
    <n v="33"/>
    <s v="Business"/>
    <n v="866558"/>
    <n v="783"/>
    <n v="1875150"/>
    <n v="11"/>
    <n v="12"/>
    <s v="Vehicle"/>
    <n v="0.52"/>
    <s v="West"/>
    <x v="0"/>
    <n v="1"/>
    <s v="Excellent"/>
    <s v="High"/>
  </r>
  <r>
    <s v="LN0317"/>
    <d v="2023-01-08T00:00:00"/>
    <n v="27"/>
    <s v="Salaried"/>
    <n v="974722"/>
    <n v="712"/>
    <n v="539901"/>
    <n v="17"/>
    <n v="60"/>
    <s v="Personal"/>
    <n v="0.34"/>
    <s v="West"/>
    <x v="0"/>
    <n v="0"/>
    <s v="Good"/>
    <s v="Medium"/>
  </r>
  <r>
    <s v="LN0318"/>
    <d v="2024-12-19T00:00:00"/>
    <n v="36"/>
    <s v="Self-Employed"/>
    <n v="617547"/>
    <n v="652"/>
    <n v="1038924"/>
    <n v="13"/>
    <n v="36"/>
    <s v="Medical"/>
    <n v="0.5600000000000001"/>
    <s v="South"/>
    <x v="0"/>
    <n v="0"/>
    <s v="Fair"/>
    <s v="High"/>
  </r>
  <r>
    <s v="LN0319"/>
    <d v="2023-01-28T00:00:00"/>
    <n v="54"/>
    <s v="Self-Employed"/>
    <n v="1495936"/>
    <n v="725"/>
    <n v="775816"/>
    <n v="16"/>
    <n v="24"/>
    <s v="Business"/>
    <n v="0.36"/>
    <s v="East"/>
    <x v="3"/>
    <n v="0"/>
    <s v="Good"/>
    <s v="Medium"/>
  </r>
  <r>
    <s v="LN0320"/>
    <d v="2024-07-12T00:00:00"/>
    <n v="26"/>
    <s v="Self-Employed"/>
    <n v="443526"/>
    <n v="841"/>
    <n v="874847"/>
    <n v="21"/>
    <n v="24"/>
    <s v="Business"/>
    <n v="0.21"/>
    <s v="East"/>
    <x v="1"/>
    <n v="1"/>
    <s v="Excellent"/>
    <s v="Medium"/>
  </r>
  <r>
    <s v="LN0321"/>
    <d v="2023-06-25T00:00:00"/>
    <n v="60"/>
    <s v="Business"/>
    <n v="1570485"/>
    <n v="487"/>
    <n v="994081"/>
    <n v="11"/>
    <n v="36"/>
    <s v="Personal"/>
    <n v="0.38"/>
    <s v="West"/>
    <x v="3"/>
    <n v="0"/>
    <s v="Poor"/>
    <s v="Medium"/>
  </r>
  <r>
    <s v="LN0322"/>
    <d v="2025-12-08T00:00:00"/>
    <n v="39"/>
    <s v="Self-Employed"/>
    <n v="1325059"/>
    <n v="345"/>
    <n v="802548"/>
    <n v="16"/>
    <n v="12"/>
    <s v="Medical"/>
    <n v="0.12"/>
    <s v="Central"/>
    <x v="0"/>
    <n v="0"/>
    <s v="Poor"/>
    <s v="Low"/>
  </r>
  <r>
    <s v="LN0323"/>
    <d v="2023-07-02T00:00:00"/>
    <n v="34"/>
    <s v="Salaried"/>
    <n v="668212"/>
    <n v="549"/>
    <n v="1437297"/>
    <n v="17"/>
    <n v="12"/>
    <s v="Home"/>
    <n v="0.3"/>
    <s v="West"/>
    <x v="1"/>
    <n v="0"/>
    <s v="Poor"/>
    <s v="Medium"/>
  </r>
  <r>
    <s v="LN0324"/>
    <d v="2024-12-03T00:00:00"/>
    <n v="33"/>
    <s v="Business"/>
    <n v="2056177"/>
    <n v="776"/>
    <n v="1877560"/>
    <n v="14"/>
    <n v="24"/>
    <s v="Education"/>
    <n v="0.51"/>
    <s v="North"/>
    <x v="3"/>
    <n v="0"/>
    <s v="Excellent"/>
    <s v="High"/>
  </r>
  <r>
    <s v="LN0325"/>
    <d v="2024-09-02T00:00:00"/>
    <n v="47"/>
    <s v="Self-Employed"/>
    <n v="2331988"/>
    <n v="415"/>
    <n v="1451006"/>
    <n v="20"/>
    <n v="12"/>
    <s v="Home"/>
    <n v="0.42"/>
    <s v="North"/>
    <x v="0"/>
    <n v="0"/>
    <s v="Poor"/>
    <s v="High"/>
  </r>
  <r>
    <s v="LN0326"/>
    <d v="2025-10-13T00:00:00"/>
    <n v="60"/>
    <s v="Business"/>
    <n v="844613"/>
    <n v="329"/>
    <n v="1042432"/>
    <n v="24"/>
    <n v="36"/>
    <s v="Personal"/>
    <n v="0.5600000000000001"/>
    <s v="South"/>
    <x v="2"/>
    <n v="1"/>
    <s v="Poor"/>
    <s v="High"/>
  </r>
  <r>
    <s v="LN0327"/>
    <d v="2023-04-11T00:00:00"/>
    <n v="62"/>
    <s v="Self-Employed"/>
    <n v="1193155"/>
    <n v="474"/>
    <n v="1226368"/>
    <n v="18"/>
    <n v="60"/>
    <s v="Education"/>
    <n v="0.47"/>
    <s v="West"/>
    <x v="1"/>
    <n v="1"/>
    <s v="Poor"/>
    <s v="High"/>
  </r>
  <r>
    <s v="LN0328"/>
    <d v="2025-09-27T00:00:00"/>
    <n v="52"/>
    <s v="Self-Employed"/>
    <n v="1132941"/>
    <n v="614"/>
    <n v="597025"/>
    <n v="21"/>
    <n v="12"/>
    <s v="Personal"/>
    <n v="0.37"/>
    <s v="North"/>
    <x v="3"/>
    <n v="0"/>
    <s v="Fair"/>
    <s v="Medium"/>
  </r>
  <r>
    <s v="LN0329"/>
    <d v="2024-04-19T00:00:00"/>
    <n v="64"/>
    <s v="Salaried"/>
    <n v="1633471"/>
    <n v="577"/>
    <n v="1956662"/>
    <n v="16"/>
    <n v="12"/>
    <s v="Medical"/>
    <n v="0.25"/>
    <s v="Central"/>
    <x v="3"/>
    <n v="1"/>
    <s v="Poor"/>
    <s v="Medium"/>
  </r>
  <r>
    <s v="LN0330"/>
    <d v="2025-04-19T00:00:00"/>
    <n v="35"/>
    <s v="Salaried"/>
    <n v="1816844"/>
    <n v="644"/>
    <n v="727218"/>
    <n v="11"/>
    <n v="60"/>
    <s v="Home"/>
    <n v="0.14"/>
    <s v="North"/>
    <x v="2"/>
    <n v="0"/>
    <s v="Fair"/>
    <s v="Low"/>
  </r>
  <r>
    <s v="LN0331"/>
    <d v="2025-05-23T00:00:00"/>
    <n v="34"/>
    <s v="Business"/>
    <n v="1764061"/>
    <n v="339"/>
    <n v="462966"/>
    <n v="8"/>
    <n v="36"/>
    <s v="Education"/>
    <n v="0.3"/>
    <s v="East"/>
    <x v="2"/>
    <n v="0"/>
    <s v="Poor"/>
    <s v="Medium"/>
  </r>
  <r>
    <s v="LN0332"/>
    <d v="2024-05-18T00:00:00"/>
    <n v="53"/>
    <s v="Self-Employed"/>
    <n v="529096"/>
    <n v="317"/>
    <n v="1338028"/>
    <n v="15"/>
    <n v="24"/>
    <s v="Education"/>
    <n v="0.12"/>
    <s v="South"/>
    <x v="0"/>
    <n v="0"/>
    <s v="Poor"/>
    <s v="Low"/>
  </r>
  <r>
    <s v="LN0333"/>
    <d v="2025-02-05T00:00:00"/>
    <n v="54"/>
    <s v="Business"/>
    <n v="1158814"/>
    <n v="362"/>
    <n v="1688989"/>
    <n v="6"/>
    <n v="24"/>
    <s v="Vehicle"/>
    <n v="0.24"/>
    <s v="Central"/>
    <x v="1"/>
    <n v="1"/>
    <s v="Poor"/>
    <s v="Medium"/>
  </r>
  <r>
    <s v="LN0334"/>
    <d v="2025-01-30T00:00:00"/>
    <n v="44"/>
    <s v="Business"/>
    <n v="1445289"/>
    <n v="559"/>
    <n v="1231705"/>
    <n v="8"/>
    <n v="24"/>
    <s v="Medical"/>
    <n v="0.48"/>
    <s v="Central"/>
    <x v="0"/>
    <n v="1"/>
    <s v="Poor"/>
    <s v="High"/>
  </r>
  <r>
    <s v="LN0335"/>
    <d v="2023-06-06T00:00:00"/>
    <n v="37"/>
    <s v="Salaried"/>
    <n v="1851463"/>
    <n v="768"/>
    <n v="210690"/>
    <n v="10"/>
    <n v="36"/>
    <s v="Business"/>
    <n v="0.45"/>
    <s v="East"/>
    <x v="1"/>
    <n v="0"/>
    <s v="Excellent"/>
    <s v="High"/>
  </r>
  <r>
    <s v="LN0336"/>
    <d v="2024-03-15T00:00:00"/>
    <n v="61"/>
    <s v="Business"/>
    <n v="850308"/>
    <n v="383"/>
    <n v="1195158"/>
    <n v="18"/>
    <n v="12"/>
    <s v="Education"/>
    <n v="0.47"/>
    <s v="West"/>
    <x v="2"/>
    <n v="1"/>
    <s v="Poor"/>
    <s v="High"/>
  </r>
  <r>
    <s v="LN0337"/>
    <d v="2024-09-26T00:00:00"/>
    <n v="46"/>
    <s v="Business"/>
    <n v="2076974"/>
    <n v="725"/>
    <n v="1929850"/>
    <n v="11"/>
    <n v="60"/>
    <s v="Home"/>
    <n v="0.3"/>
    <s v="South"/>
    <x v="0"/>
    <n v="0"/>
    <s v="Good"/>
    <s v="Medium"/>
  </r>
  <r>
    <s v="LN0338"/>
    <d v="2023-04-05T00:00:00"/>
    <n v="54"/>
    <s v="Business"/>
    <n v="1296996"/>
    <n v="835"/>
    <n v="1804935"/>
    <n v="23"/>
    <n v="24"/>
    <s v="Vehicle"/>
    <n v="0.26"/>
    <s v="North"/>
    <x v="3"/>
    <n v="0"/>
    <s v="Excellent"/>
    <s v="Medium"/>
  </r>
  <r>
    <s v="LN0339"/>
    <d v="2024-11-05T00:00:00"/>
    <n v="38"/>
    <s v="Business"/>
    <n v="2027331"/>
    <n v="502"/>
    <n v="1619172"/>
    <n v="18"/>
    <n v="60"/>
    <s v="Business"/>
    <n v="0.21"/>
    <s v="Central"/>
    <x v="1"/>
    <n v="1"/>
    <s v="Poor"/>
    <s v="Medium"/>
  </r>
  <r>
    <s v="LN0340"/>
    <d v="2023-02-24T00:00:00"/>
    <n v="54"/>
    <s v="Self-Employed"/>
    <n v="1733727"/>
    <n v="796"/>
    <n v="1300614"/>
    <n v="23"/>
    <n v="36"/>
    <s v="Personal"/>
    <n v="0.41"/>
    <s v="South"/>
    <x v="0"/>
    <n v="0"/>
    <s v="Excellent"/>
    <s v="High"/>
  </r>
  <r>
    <s v="LN0341"/>
    <d v="2024-11-27T00:00:00"/>
    <n v="54"/>
    <s v="Business"/>
    <n v="632489"/>
    <n v="313"/>
    <n v="1444681"/>
    <n v="15"/>
    <n v="60"/>
    <s v="Home"/>
    <n v="0.52"/>
    <s v="South"/>
    <x v="2"/>
    <n v="1"/>
    <s v="Poor"/>
    <s v="High"/>
  </r>
  <r>
    <s v="LN0342"/>
    <d v="2025-10-12T00:00:00"/>
    <n v="23"/>
    <s v="Business"/>
    <n v="1295179"/>
    <n v="480"/>
    <n v="1692599"/>
    <n v="21"/>
    <n v="60"/>
    <s v="Vehicle"/>
    <n v="0.4"/>
    <s v="South"/>
    <x v="3"/>
    <n v="1"/>
    <s v="Poor"/>
    <s v="High"/>
  </r>
  <r>
    <s v="LN0343"/>
    <d v="2024-08-23T00:00:00"/>
    <n v="31"/>
    <s v="Self-Employed"/>
    <n v="812600"/>
    <n v="848"/>
    <n v="302203"/>
    <n v="15"/>
    <n v="36"/>
    <s v="Medical"/>
    <n v="0.48"/>
    <s v="North"/>
    <x v="2"/>
    <n v="0"/>
    <s v="Excellent"/>
    <s v="High"/>
  </r>
  <r>
    <s v="LN0344"/>
    <d v="2025-04-14T00:00:00"/>
    <n v="61"/>
    <s v="Salaried"/>
    <n v="1502315"/>
    <n v="583"/>
    <n v="560536"/>
    <n v="24"/>
    <n v="36"/>
    <s v="Vehicle"/>
    <n v="0.41"/>
    <s v="East"/>
    <x v="2"/>
    <n v="1"/>
    <s v="Fair"/>
    <s v="High"/>
  </r>
  <r>
    <s v="LN0345"/>
    <d v="2023-02-03T00:00:00"/>
    <n v="60"/>
    <s v="Self-Employed"/>
    <n v="1606920"/>
    <n v="690"/>
    <n v="716839"/>
    <n v="13"/>
    <n v="12"/>
    <s v="Home"/>
    <n v="0.55"/>
    <s v="East"/>
    <x v="0"/>
    <n v="1"/>
    <s v="Good"/>
    <s v="High"/>
  </r>
  <r>
    <s v="LN0346"/>
    <d v="2023-04-10T00:00:00"/>
    <n v="39"/>
    <s v="Salaried"/>
    <n v="2242322"/>
    <n v="588"/>
    <n v="281288"/>
    <n v="15"/>
    <n v="60"/>
    <s v="Education"/>
    <n v="0.59"/>
    <s v="East"/>
    <x v="2"/>
    <n v="1"/>
    <s v="Fair"/>
    <s v="High"/>
  </r>
  <r>
    <s v="LN0347"/>
    <d v="2023-02-03T00:00:00"/>
    <n v="30"/>
    <s v="Self-Employed"/>
    <n v="1974248"/>
    <n v="536"/>
    <n v="1104265"/>
    <n v="10"/>
    <n v="12"/>
    <s v="Education"/>
    <n v="0.13"/>
    <s v="East"/>
    <x v="0"/>
    <n v="0"/>
    <s v="Poor"/>
    <s v="Low"/>
  </r>
  <r>
    <s v="LN0348"/>
    <d v="2025-10-30T00:00:00"/>
    <n v="51"/>
    <s v="Salaried"/>
    <n v="586249"/>
    <n v="639"/>
    <n v="1623282"/>
    <n v="19"/>
    <n v="12"/>
    <s v="Education"/>
    <n v="0.6"/>
    <s v="West"/>
    <x v="3"/>
    <n v="1"/>
    <s v="Fair"/>
    <s v="High"/>
  </r>
  <r>
    <s v="LN0349"/>
    <d v="2023-03-14T00:00:00"/>
    <n v="52"/>
    <s v="Salaried"/>
    <n v="488781"/>
    <n v="763"/>
    <n v="97889"/>
    <n v="17"/>
    <n v="24"/>
    <s v="Home"/>
    <n v="0.29"/>
    <s v="West"/>
    <x v="0"/>
    <n v="0"/>
    <s v="Excellent"/>
    <s v="Medium"/>
  </r>
  <r>
    <s v="LN0350"/>
    <d v="2025-09-08T00:00:00"/>
    <n v="34"/>
    <s v="Salaried"/>
    <n v="1812113"/>
    <n v="559"/>
    <n v="1245568"/>
    <n v="20"/>
    <n v="60"/>
    <s v="Home"/>
    <n v="0.55"/>
    <s v="Central"/>
    <x v="2"/>
    <n v="1"/>
    <s v="Poor"/>
    <s v="High"/>
  </r>
  <r>
    <s v="LN0351"/>
    <d v="2023-05-13T00:00:00"/>
    <n v="27"/>
    <s v="Business"/>
    <n v="587799"/>
    <n v="473"/>
    <n v="1730016"/>
    <n v="8"/>
    <n v="36"/>
    <s v="Business"/>
    <n v="0.15"/>
    <s v="North"/>
    <x v="3"/>
    <n v="1"/>
    <s v="Poor"/>
    <s v="Low"/>
  </r>
  <r>
    <s v="LN0352"/>
    <d v="2025-02-26T00:00:00"/>
    <n v="22"/>
    <s v="Salaried"/>
    <n v="1469215"/>
    <n v="395"/>
    <n v="1297930"/>
    <n v="6"/>
    <n v="36"/>
    <s v="Medical"/>
    <n v="0.19"/>
    <s v="South"/>
    <x v="2"/>
    <n v="0"/>
    <s v="Poor"/>
    <s v="Low"/>
  </r>
  <r>
    <s v="LN0353"/>
    <d v="2025-08-14T00:00:00"/>
    <n v="59"/>
    <s v="Salaried"/>
    <n v="392471"/>
    <n v="442"/>
    <n v="1857531"/>
    <n v="6"/>
    <n v="24"/>
    <s v="Medical"/>
    <n v="0.59"/>
    <s v="South"/>
    <x v="3"/>
    <n v="1"/>
    <s v="Poor"/>
    <s v="High"/>
  </r>
  <r>
    <s v="LN0354"/>
    <d v="2024-11-30T00:00:00"/>
    <n v="44"/>
    <s v="Business"/>
    <n v="2388543"/>
    <n v="835"/>
    <n v="128715"/>
    <n v="7"/>
    <n v="60"/>
    <s v="Vehicle"/>
    <n v="0.11"/>
    <s v="Central"/>
    <x v="0"/>
    <n v="1"/>
    <s v="Excellent"/>
    <s v="Low"/>
  </r>
  <r>
    <s v="LN0355"/>
    <d v="2024-04-12T00:00:00"/>
    <n v="61"/>
    <s v="Self-Employed"/>
    <n v="1105058"/>
    <n v="530"/>
    <n v="525382"/>
    <n v="21"/>
    <n v="24"/>
    <s v="Vehicle"/>
    <n v="0.39"/>
    <s v="East"/>
    <x v="0"/>
    <n v="0"/>
    <s v="Poor"/>
    <s v="Medium"/>
  </r>
  <r>
    <s v="LN0356"/>
    <d v="2025-12-16T00:00:00"/>
    <n v="25"/>
    <s v="Self-Employed"/>
    <n v="1297481"/>
    <n v="700"/>
    <n v="757258"/>
    <n v="14"/>
    <n v="24"/>
    <s v="Education"/>
    <n v="0.32"/>
    <s v="Central"/>
    <x v="2"/>
    <n v="0"/>
    <s v="Good"/>
    <s v="Medium"/>
  </r>
  <r>
    <s v="LN0357"/>
    <d v="2024-09-04T00:00:00"/>
    <n v="49"/>
    <s v="Self-Employed"/>
    <n v="1099172"/>
    <n v="813"/>
    <n v="462942"/>
    <n v="22"/>
    <n v="36"/>
    <s v="Medical"/>
    <n v="0.15"/>
    <s v="North"/>
    <x v="1"/>
    <n v="0"/>
    <s v="Excellent"/>
    <s v="Low"/>
  </r>
  <r>
    <s v="LN0358"/>
    <d v="2024-08-13T00:00:00"/>
    <n v="48"/>
    <s v="Self-Employed"/>
    <n v="288931"/>
    <n v="738"/>
    <n v="1823851"/>
    <n v="18"/>
    <n v="36"/>
    <s v="Home"/>
    <n v="0.43"/>
    <s v="North"/>
    <x v="0"/>
    <n v="0"/>
    <s v="Good"/>
    <s v="High"/>
  </r>
  <r>
    <s v="LN0359"/>
    <d v="2025-11-30T00:00:00"/>
    <n v="43"/>
    <s v="Salaried"/>
    <n v="1372526"/>
    <n v="404"/>
    <n v="1733001"/>
    <n v="16"/>
    <n v="60"/>
    <s v="Home"/>
    <n v="0.51"/>
    <s v="East"/>
    <x v="0"/>
    <n v="1"/>
    <s v="Poor"/>
    <s v="High"/>
  </r>
  <r>
    <s v="LN0360"/>
    <d v="2023-06-06T00:00:00"/>
    <n v="26"/>
    <s v="Self-Employed"/>
    <n v="1721051"/>
    <n v="408"/>
    <n v="1291902"/>
    <n v="22"/>
    <n v="24"/>
    <s v="Vehicle"/>
    <n v="0.17"/>
    <s v="South"/>
    <x v="2"/>
    <n v="0"/>
    <s v="Poor"/>
    <s v="Low"/>
  </r>
  <r>
    <s v="LN0361"/>
    <d v="2025-02-14T00:00:00"/>
    <n v="51"/>
    <s v="Self-Employed"/>
    <n v="2239883"/>
    <n v="631"/>
    <n v="85750"/>
    <n v="18"/>
    <n v="12"/>
    <s v="Education"/>
    <n v="0.22"/>
    <s v="East"/>
    <x v="2"/>
    <n v="0"/>
    <s v="Fair"/>
    <s v="Medium"/>
  </r>
  <r>
    <s v="LN0362"/>
    <d v="2024-03-05T00:00:00"/>
    <n v="48"/>
    <s v="Business"/>
    <n v="1989958"/>
    <n v="509"/>
    <n v="1590779"/>
    <n v="18"/>
    <n v="60"/>
    <s v="Personal"/>
    <n v="0.28"/>
    <s v="East"/>
    <x v="2"/>
    <n v="0"/>
    <s v="Poor"/>
    <s v="Medium"/>
  </r>
  <r>
    <s v="LN0363"/>
    <d v="2024-01-21T00:00:00"/>
    <n v="27"/>
    <s v="Business"/>
    <n v="310161"/>
    <n v="817"/>
    <n v="1745116"/>
    <n v="15"/>
    <n v="60"/>
    <s v="Vehicle"/>
    <n v="0.53"/>
    <s v="Central"/>
    <x v="0"/>
    <n v="1"/>
    <s v="Excellent"/>
    <s v="High"/>
  </r>
  <r>
    <s v="LN0364"/>
    <d v="2024-10-12T00:00:00"/>
    <n v="30"/>
    <s v="Business"/>
    <n v="554466"/>
    <n v="504"/>
    <n v="94002"/>
    <n v="12"/>
    <n v="36"/>
    <s v="Education"/>
    <n v="0.57"/>
    <s v="West"/>
    <x v="2"/>
    <n v="0"/>
    <s v="Poor"/>
    <s v="High"/>
  </r>
  <r>
    <s v="LN0365"/>
    <d v="2023-10-09T00:00:00"/>
    <n v="57"/>
    <s v="Self-Employed"/>
    <n v="1791046"/>
    <n v="758"/>
    <n v="346706"/>
    <n v="9"/>
    <n v="36"/>
    <s v="Vehicle"/>
    <n v="0.16"/>
    <s v="Central"/>
    <x v="1"/>
    <n v="1"/>
    <s v="Excellent"/>
    <s v="Low"/>
  </r>
  <r>
    <s v="LN0366"/>
    <d v="2024-06-15T00:00:00"/>
    <n v="21"/>
    <s v="Business"/>
    <n v="331520"/>
    <n v="318"/>
    <n v="1481954"/>
    <n v="21"/>
    <n v="60"/>
    <s v="Personal"/>
    <n v="0.3"/>
    <s v="West"/>
    <x v="3"/>
    <n v="0"/>
    <s v="Poor"/>
    <s v="Medium"/>
  </r>
  <r>
    <s v="LN0367"/>
    <d v="2024-05-16T00:00:00"/>
    <n v="54"/>
    <s v="Business"/>
    <n v="998873"/>
    <n v="308"/>
    <n v="620120"/>
    <n v="24"/>
    <n v="60"/>
    <s v="Education"/>
    <n v="0.4"/>
    <s v="East"/>
    <x v="3"/>
    <n v="0"/>
    <s v="Poor"/>
    <s v="High"/>
  </r>
  <r>
    <s v="LN0368"/>
    <d v="2023-05-28T00:00:00"/>
    <n v="63"/>
    <s v="Salaried"/>
    <n v="321467"/>
    <n v="820"/>
    <n v="1299176"/>
    <n v="20"/>
    <n v="60"/>
    <s v="Home"/>
    <n v="0.33"/>
    <s v="North"/>
    <x v="0"/>
    <n v="0"/>
    <s v="Excellent"/>
    <s v="Medium"/>
  </r>
  <r>
    <s v="LN0369"/>
    <d v="2025-04-03T00:00:00"/>
    <n v="28"/>
    <s v="Self-Employed"/>
    <n v="1263988"/>
    <n v="385"/>
    <n v="1471538"/>
    <n v="15"/>
    <n v="36"/>
    <s v="Business"/>
    <n v="0.45"/>
    <s v="Central"/>
    <x v="1"/>
    <n v="0"/>
    <s v="Poor"/>
    <s v="High"/>
  </r>
  <r>
    <s v="LN0370"/>
    <d v="2024-08-26T00:00:00"/>
    <n v="56"/>
    <s v="Business"/>
    <n v="2063877"/>
    <n v="501"/>
    <n v="900396"/>
    <n v="16"/>
    <n v="24"/>
    <s v="Vehicle"/>
    <n v="0.12"/>
    <s v="West"/>
    <x v="2"/>
    <n v="0"/>
    <s v="Poor"/>
    <s v="Low"/>
  </r>
  <r>
    <s v="LN0371"/>
    <d v="2025-03-10T00:00:00"/>
    <n v="49"/>
    <s v="Self-Employed"/>
    <n v="1612703"/>
    <n v="305"/>
    <n v="840651"/>
    <n v="22"/>
    <n v="24"/>
    <s v="Personal"/>
    <n v="0.22"/>
    <s v="South"/>
    <x v="3"/>
    <n v="0"/>
    <s v="Poor"/>
    <s v="Medium"/>
  </r>
  <r>
    <s v="LN0372"/>
    <d v="2025-02-16T00:00:00"/>
    <n v="38"/>
    <s v="Business"/>
    <n v="429341"/>
    <n v="439"/>
    <n v="1479459"/>
    <n v="6"/>
    <n v="12"/>
    <s v="Personal"/>
    <n v="0.19"/>
    <s v="Central"/>
    <x v="0"/>
    <n v="0"/>
    <s v="Poor"/>
    <s v="Low"/>
  </r>
  <r>
    <s v="LN0373"/>
    <d v="2023-02-24T00:00:00"/>
    <n v="55"/>
    <s v="Self-Employed"/>
    <n v="1024082"/>
    <n v="749"/>
    <n v="750265"/>
    <n v="13"/>
    <n v="36"/>
    <s v="Home"/>
    <n v="0.29"/>
    <s v="West"/>
    <x v="1"/>
    <n v="0"/>
    <s v="Excellent"/>
    <s v="Medium"/>
  </r>
  <r>
    <s v="LN0374"/>
    <d v="2024-05-04T00:00:00"/>
    <n v="56"/>
    <s v="Business"/>
    <n v="2029038"/>
    <n v="676"/>
    <n v="426635"/>
    <n v="6"/>
    <n v="60"/>
    <s v="Vehicle"/>
    <n v="0.23"/>
    <s v="Central"/>
    <x v="2"/>
    <n v="0"/>
    <s v="Good"/>
    <s v="Medium"/>
  </r>
  <r>
    <s v="LN0375"/>
    <d v="2023-02-13T00:00:00"/>
    <n v="39"/>
    <s v="Salaried"/>
    <n v="827424"/>
    <n v="322"/>
    <n v="98770"/>
    <n v="14"/>
    <n v="60"/>
    <s v="Education"/>
    <n v="0.4"/>
    <s v="West"/>
    <x v="0"/>
    <n v="0"/>
    <s v="Poor"/>
    <s v="High"/>
  </r>
  <r>
    <s v="LN0376"/>
    <d v="2025-08-13T00:00:00"/>
    <n v="37"/>
    <s v="Self-Employed"/>
    <n v="635033"/>
    <n v="575"/>
    <n v="1687878"/>
    <n v="7"/>
    <n v="24"/>
    <s v="Medical"/>
    <n v="0.11"/>
    <s v="Central"/>
    <x v="0"/>
    <n v="1"/>
    <s v="Poor"/>
    <s v="Low"/>
  </r>
  <r>
    <s v="LN0377"/>
    <d v="2024-12-03T00:00:00"/>
    <n v="44"/>
    <s v="Salaried"/>
    <n v="863918"/>
    <n v="367"/>
    <n v="109071"/>
    <n v="8"/>
    <n v="12"/>
    <s v="Medical"/>
    <n v="0.26"/>
    <s v="Central"/>
    <x v="3"/>
    <n v="0"/>
    <s v="Poor"/>
    <s v="Medium"/>
  </r>
  <r>
    <s v="LN0378"/>
    <d v="2023-01-22T00:00:00"/>
    <n v="26"/>
    <s v="Self-Employed"/>
    <n v="1989152"/>
    <n v="379"/>
    <n v="655637"/>
    <n v="17"/>
    <n v="12"/>
    <s v="Medical"/>
    <n v="0.15"/>
    <s v="North"/>
    <x v="1"/>
    <n v="0"/>
    <s v="Poor"/>
    <s v="Low"/>
  </r>
  <r>
    <s v="LN0379"/>
    <d v="2024-10-23T00:00:00"/>
    <n v="44"/>
    <s v="Salaried"/>
    <n v="1144801"/>
    <n v="541"/>
    <n v="449802"/>
    <n v="22"/>
    <n v="12"/>
    <s v="Education"/>
    <n v="0.4"/>
    <s v="South"/>
    <x v="3"/>
    <n v="0"/>
    <s v="Poor"/>
    <s v="High"/>
  </r>
  <r>
    <s v="LN0380"/>
    <d v="2024-03-01T00:00:00"/>
    <n v="24"/>
    <s v="Business"/>
    <n v="796800"/>
    <n v="574"/>
    <n v="1441520"/>
    <n v="10"/>
    <n v="36"/>
    <s v="Vehicle"/>
    <n v="0.59"/>
    <s v="North"/>
    <x v="0"/>
    <n v="1"/>
    <s v="Poor"/>
    <s v="High"/>
  </r>
  <r>
    <s v="LN0381"/>
    <d v="2025-10-27T00:00:00"/>
    <n v="58"/>
    <s v="Business"/>
    <n v="2245578"/>
    <n v="644"/>
    <n v="1816698"/>
    <n v="23"/>
    <n v="12"/>
    <s v="Personal"/>
    <n v="0.47"/>
    <s v="South"/>
    <x v="1"/>
    <n v="0"/>
    <s v="Fair"/>
    <s v="High"/>
  </r>
  <r>
    <s v="LN0382"/>
    <d v="2025-05-27T00:00:00"/>
    <n v="46"/>
    <s v="Self-Employed"/>
    <n v="396482"/>
    <n v="640"/>
    <n v="1998209"/>
    <n v="18"/>
    <n v="36"/>
    <s v="Business"/>
    <n v="0.31"/>
    <s v="Central"/>
    <x v="2"/>
    <n v="0"/>
    <s v="Fair"/>
    <s v="Medium"/>
  </r>
  <r>
    <s v="LN0383"/>
    <d v="2025-10-04T00:00:00"/>
    <n v="51"/>
    <s v="Salaried"/>
    <n v="2292705"/>
    <n v="352"/>
    <n v="931638"/>
    <n v="9"/>
    <n v="12"/>
    <s v="Education"/>
    <n v="0.25"/>
    <s v="Central"/>
    <x v="0"/>
    <n v="0"/>
    <s v="Poor"/>
    <s v="Medium"/>
  </r>
  <r>
    <s v="LN0384"/>
    <d v="2024-01-24T00:00:00"/>
    <n v="53"/>
    <s v="Salaried"/>
    <n v="1746191"/>
    <n v="439"/>
    <n v="350613"/>
    <n v="22"/>
    <n v="12"/>
    <s v="Vehicle"/>
    <n v="0.54"/>
    <s v="South"/>
    <x v="3"/>
    <n v="1"/>
    <s v="Poor"/>
    <s v="High"/>
  </r>
  <r>
    <s v="LN0385"/>
    <d v="2023-02-08T00:00:00"/>
    <n v="56"/>
    <s v="Salaried"/>
    <n v="1337853"/>
    <n v="529"/>
    <n v="1211263"/>
    <n v="7"/>
    <n v="12"/>
    <s v="Medical"/>
    <n v="0.5"/>
    <s v="West"/>
    <x v="2"/>
    <n v="1"/>
    <s v="Poor"/>
    <s v="High"/>
  </r>
  <r>
    <s v="LN0386"/>
    <d v="2023-05-04T00:00:00"/>
    <n v="56"/>
    <s v="Self-Employed"/>
    <n v="1213042"/>
    <n v="751"/>
    <n v="162992"/>
    <n v="16"/>
    <n v="36"/>
    <s v="Medical"/>
    <n v="0.48"/>
    <s v="Central"/>
    <x v="0"/>
    <n v="1"/>
    <s v="Excellent"/>
    <s v="High"/>
  </r>
  <r>
    <s v="LN0387"/>
    <d v="2025-08-09T00:00:00"/>
    <n v="31"/>
    <s v="Self-Employed"/>
    <n v="2306314"/>
    <n v="757"/>
    <n v="435739"/>
    <n v="6"/>
    <n v="24"/>
    <s v="Vehicle"/>
    <n v="0.36"/>
    <s v="North"/>
    <x v="0"/>
    <n v="1"/>
    <s v="Excellent"/>
    <s v="Medium"/>
  </r>
  <r>
    <s v="LN0388"/>
    <d v="2025-01-25T00:00:00"/>
    <n v="44"/>
    <s v="Salaried"/>
    <n v="1477864"/>
    <n v="694"/>
    <n v="1356465"/>
    <n v="12"/>
    <n v="60"/>
    <s v="Business"/>
    <n v="0.34"/>
    <s v="South"/>
    <x v="0"/>
    <n v="0"/>
    <s v="Good"/>
    <s v="Medium"/>
  </r>
  <r>
    <s v="LN0389"/>
    <d v="2024-01-28T00:00:00"/>
    <n v="25"/>
    <s v="Self-Employed"/>
    <n v="848677"/>
    <n v="462"/>
    <n v="910402"/>
    <n v="13"/>
    <n v="60"/>
    <s v="Education"/>
    <n v="0.51"/>
    <s v="East"/>
    <x v="3"/>
    <n v="0"/>
    <s v="Poor"/>
    <s v="High"/>
  </r>
  <r>
    <s v="LN0390"/>
    <d v="2023-11-16T00:00:00"/>
    <n v="54"/>
    <s v="Business"/>
    <n v="693322"/>
    <n v="649"/>
    <n v="261070"/>
    <n v="15"/>
    <n v="36"/>
    <s v="Vehicle"/>
    <n v="0.13"/>
    <s v="East"/>
    <x v="1"/>
    <n v="1"/>
    <s v="Fair"/>
    <s v="Low"/>
  </r>
  <r>
    <s v="LN0391"/>
    <d v="2023-09-26T00:00:00"/>
    <n v="27"/>
    <s v="Business"/>
    <n v="2089625"/>
    <n v="703"/>
    <n v="941940"/>
    <n v="16"/>
    <n v="36"/>
    <s v="Business"/>
    <n v="0.26"/>
    <s v="East"/>
    <x v="3"/>
    <n v="0"/>
    <s v="Good"/>
    <s v="Medium"/>
  </r>
  <r>
    <s v="LN0392"/>
    <d v="2024-09-26T00:00:00"/>
    <n v="39"/>
    <s v="Salaried"/>
    <n v="1065654"/>
    <n v="385"/>
    <n v="1059900"/>
    <n v="11"/>
    <n v="12"/>
    <s v="Education"/>
    <n v="0.41"/>
    <s v="Central"/>
    <x v="3"/>
    <n v="0"/>
    <s v="Poor"/>
    <s v="High"/>
  </r>
  <r>
    <s v="LN0393"/>
    <d v="2024-08-22T00:00:00"/>
    <n v="63"/>
    <s v="Business"/>
    <n v="1625416"/>
    <n v="366"/>
    <n v="1999110"/>
    <n v="20"/>
    <n v="24"/>
    <s v="Home"/>
    <n v="0.54"/>
    <s v="West"/>
    <x v="3"/>
    <n v="1"/>
    <s v="Poor"/>
    <s v="High"/>
  </r>
  <r>
    <s v="LN0394"/>
    <d v="2024-06-20T00:00:00"/>
    <n v="27"/>
    <s v="Business"/>
    <n v="2370102"/>
    <n v="459"/>
    <n v="1349309"/>
    <n v="16"/>
    <n v="60"/>
    <s v="Education"/>
    <n v="0.53"/>
    <s v="East"/>
    <x v="0"/>
    <n v="1"/>
    <s v="Poor"/>
    <s v="High"/>
  </r>
  <r>
    <s v="LN0395"/>
    <d v="2024-10-27T00:00:00"/>
    <n v="21"/>
    <s v="Salaried"/>
    <n v="342237"/>
    <n v="645"/>
    <n v="1405508"/>
    <n v="24"/>
    <n v="60"/>
    <s v="Home"/>
    <n v="0.3"/>
    <s v="Central"/>
    <x v="2"/>
    <n v="0"/>
    <s v="Fair"/>
    <s v="Medium"/>
  </r>
  <r>
    <s v="LN0396"/>
    <d v="2024-10-24T00:00:00"/>
    <n v="61"/>
    <s v="Business"/>
    <n v="1276714"/>
    <n v="609"/>
    <n v="1190188"/>
    <n v="13"/>
    <n v="12"/>
    <s v="Vehicle"/>
    <n v="0.52"/>
    <s v="South"/>
    <x v="2"/>
    <n v="0"/>
    <s v="Fair"/>
    <s v="High"/>
  </r>
  <r>
    <s v="LN0397"/>
    <d v="2025-10-06T00:00:00"/>
    <n v="44"/>
    <s v="Salaried"/>
    <n v="870710"/>
    <n v="731"/>
    <n v="81954"/>
    <n v="20"/>
    <n v="36"/>
    <s v="Business"/>
    <n v="0.43"/>
    <s v="West"/>
    <x v="0"/>
    <n v="0"/>
    <s v="Good"/>
    <s v="High"/>
  </r>
  <r>
    <s v="LN0398"/>
    <d v="2023-04-15T00:00:00"/>
    <n v="52"/>
    <s v="Salaried"/>
    <n v="1885521"/>
    <n v="692"/>
    <n v="1532786"/>
    <n v="17"/>
    <n v="12"/>
    <s v="Medical"/>
    <n v="0.52"/>
    <s v="South"/>
    <x v="1"/>
    <n v="0"/>
    <s v="Good"/>
    <s v="High"/>
  </r>
  <r>
    <s v="LN0399"/>
    <d v="2025-03-01T00:00:00"/>
    <n v="54"/>
    <s v="Salaried"/>
    <n v="716521"/>
    <n v="738"/>
    <n v="880675"/>
    <n v="21"/>
    <n v="36"/>
    <s v="Medical"/>
    <n v="0.57"/>
    <s v="North"/>
    <x v="3"/>
    <n v="0"/>
    <s v="Good"/>
    <s v="High"/>
  </r>
  <r>
    <s v="LN0400"/>
    <d v="2023-10-22T00:00:00"/>
    <n v="24"/>
    <s v="Business"/>
    <n v="2294186"/>
    <n v="455"/>
    <n v="1914186"/>
    <n v="8"/>
    <n v="12"/>
    <s v="Business"/>
    <n v="0.29"/>
    <s v="North"/>
    <x v="0"/>
    <n v="0"/>
    <s v="Poor"/>
    <s v="Medium"/>
  </r>
  <r>
    <s v="LN0401"/>
    <d v="2025-07-05T00:00:00"/>
    <n v="59"/>
    <s v="Salaried"/>
    <n v="1499878"/>
    <n v="548"/>
    <n v="1919741"/>
    <n v="14"/>
    <n v="12"/>
    <s v="Vehicle"/>
    <n v="0.54"/>
    <s v="Central"/>
    <x v="3"/>
    <n v="1"/>
    <s v="Poor"/>
    <s v="High"/>
  </r>
  <r>
    <s v="LN0402"/>
    <d v="2025-05-25T00:00:00"/>
    <n v="36"/>
    <s v="Salaried"/>
    <n v="718423"/>
    <n v="639"/>
    <n v="470122"/>
    <n v="7"/>
    <n v="36"/>
    <s v="Vehicle"/>
    <n v="0.59"/>
    <s v="East"/>
    <x v="3"/>
    <n v="0"/>
    <s v="Fair"/>
    <s v="High"/>
  </r>
  <r>
    <s v="LN0403"/>
    <d v="2023-03-07T00:00:00"/>
    <n v="23"/>
    <s v="Self-Employed"/>
    <n v="948918"/>
    <n v="713"/>
    <n v="200651"/>
    <n v="15"/>
    <n v="24"/>
    <s v="Business"/>
    <n v="0.5600000000000001"/>
    <s v="North"/>
    <x v="1"/>
    <n v="0"/>
    <s v="Good"/>
    <s v="High"/>
  </r>
  <r>
    <s v="LN0404"/>
    <d v="2025-04-03T00:00:00"/>
    <n v="33"/>
    <s v="Salaried"/>
    <n v="1078176"/>
    <n v="523"/>
    <n v="595789"/>
    <n v="21"/>
    <n v="24"/>
    <s v="Business"/>
    <n v="0.29"/>
    <s v="Central"/>
    <x v="0"/>
    <n v="1"/>
    <s v="Poor"/>
    <s v="Medium"/>
  </r>
  <r>
    <s v="LN0405"/>
    <d v="2024-01-04T00:00:00"/>
    <n v="61"/>
    <s v="Self-Employed"/>
    <n v="2062568"/>
    <n v="539"/>
    <n v="842460"/>
    <n v="6"/>
    <n v="60"/>
    <s v="Medical"/>
    <n v="0.13"/>
    <s v="Central"/>
    <x v="3"/>
    <n v="0"/>
    <s v="Poor"/>
    <s v="Low"/>
  </r>
  <r>
    <s v="LN0406"/>
    <d v="2023-10-08T00:00:00"/>
    <n v="34"/>
    <s v="Salaried"/>
    <n v="1122668"/>
    <n v="378"/>
    <n v="673625"/>
    <n v="23"/>
    <n v="24"/>
    <s v="Vehicle"/>
    <n v="0.26"/>
    <s v="West"/>
    <x v="2"/>
    <n v="0"/>
    <s v="Poor"/>
    <s v="Medium"/>
  </r>
  <r>
    <s v="LN0407"/>
    <d v="2024-11-27T00:00:00"/>
    <n v="30"/>
    <s v="Self-Employed"/>
    <n v="699329"/>
    <n v="426"/>
    <n v="989047"/>
    <n v="24"/>
    <n v="60"/>
    <s v="Education"/>
    <n v="0.44"/>
    <s v="Central"/>
    <x v="1"/>
    <n v="0"/>
    <s v="Poor"/>
    <s v="High"/>
  </r>
  <r>
    <s v="LN0408"/>
    <d v="2023-02-16T00:00:00"/>
    <n v="31"/>
    <s v="Self-Employed"/>
    <n v="1651313"/>
    <n v="614"/>
    <n v="1624206"/>
    <n v="16"/>
    <n v="36"/>
    <s v="Business"/>
    <n v="0.14"/>
    <s v="North"/>
    <x v="0"/>
    <n v="0"/>
    <s v="Fair"/>
    <s v="Low"/>
  </r>
  <r>
    <s v="LN0409"/>
    <d v="2023-08-25T00:00:00"/>
    <n v="30"/>
    <s v="Self-Employed"/>
    <n v="787260"/>
    <n v="539"/>
    <n v="1757167"/>
    <n v="14"/>
    <n v="12"/>
    <s v="Vehicle"/>
    <n v="0.35"/>
    <s v="Central"/>
    <x v="3"/>
    <n v="1"/>
    <s v="Poor"/>
    <s v="Medium"/>
  </r>
  <r>
    <s v="LN0410"/>
    <d v="2023-01-09T00:00:00"/>
    <n v="26"/>
    <s v="Self-Employed"/>
    <n v="1687247"/>
    <n v="337"/>
    <n v="909279"/>
    <n v="16"/>
    <n v="60"/>
    <s v="Business"/>
    <n v="0.59"/>
    <s v="East"/>
    <x v="3"/>
    <n v="0"/>
    <s v="Poor"/>
    <s v="High"/>
  </r>
  <r>
    <s v="LN0411"/>
    <d v="2023-01-07T00:00:00"/>
    <n v="37"/>
    <s v="Salaried"/>
    <n v="1414587"/>
    <n v="668"/>
    <n v="503514"/>
    <n v="14"/>
    <n v="36"/>
    <s v="Medical"/>
    <n v="0.52"/>
    <s v="Central"/>
    <x v="1"/>
    <n v="0"/>
    <s v="Fair"/>
    <s v="High"/>
  </r>
  <r>
    <s v="LN0412"/>
    <d v="2023-10-26T00:00:00"/>
    <n v="51"/>
    <s v="Salaried"/>
    <n v="363848"/>
    <n v="528"/>
    <n v="1057992"/>
    <n v="13"/>
    <n v="60"/>
    <s v="Business"/>
    <n v="0.38"/>
    <s v="North"/>
    <x v="2"/>
    <n v="1"/>
    <s v="Poor"/>
    <s v="Medium"/>
  </r>
  <r>
    <s v="LN0413"/>
    <d v="2025-04-29T00:00:00"/>
    <n v="42"/>
    <s v="Self-Employed"/>
    <n v="1746560"/>
    <n v="622"/>
    <n v="907778"/>
    <n v="21"/>
    <n v="24"/>
    <s v="Business"/>
    <n v="0.19"/>
    <s v="Central"/>
    <x v="1"/>
    <n v="0"/>
    <s v="Fair"/>
    <s v="Low"/>
  </r>
  <r>
    <s v="LN0414"/>
    <d v="2024-05-01T00:00:00"/>
    <n v="55"/>
    <s v="Salaried"/>
    <n v="273315"/>
    <n v="615"/>
    <n v="1122902"/>
    <n v="13"/>
    <n v="24"/>
    <s v="Personal"/>
    <n v="0.16"/>
    <s v="South"/>
    <x v="1"/>
    <n v="0"/>
    <s v="Fair"/>
    <s v="Low"/>
  </r>
  <r>
    <s v="LN0415"/>
    <d v="2025-10-20T00:00:00"/>
    <n v="56"/>
    <s v="Salaried"/>
    <n v="1187389"/>
    <n v="515"/>
    <n v="200021"/>
    <n v="21"/>
    <n v="60"/>
    <s v="Vehicle"/>
    <n v="0.34"/>
    <s v="East"/>
    <x v="2"/>
    <n v="0"/>
    <s v="Poor"/>
    <s v="Medium"/>
  </r>
  <r>
    <s v="LN0416"/>
    <d v="2023-07-15T00:00:00"/>
    <n v="21"/>
    <s v="Salaried"/>
    <n v="1482261"/>
    <n v="499"/>
    <n v="477572"/>
    <n v="12"/>
    <n v="36"/>
    <s v="Business"/>
    <n v="0.51"/>
    <s v="West"/>
    <x v="1"/>
    <n v="1"/>
    <s v="Poor"/>
    <s v="High"/>
  </r>
  <r>
    <s v="LN0417"/>
    <d v="2024-11-06T00:00:00"/>
    <n v="60"/>
    <s v="Salaried"/>
    <n v="2287632"/>
    <n v="591"/>
    <n v="1311255"/>
    <n v="12"/>
    <n v="24"/>
    <s v="Personal"/>
    <n v="0.34"/>
    <s v="Central"/>
    <x v="1"/>
    <n v="0"/>
    <s v="Fair"/>
    <s v="Medium"/>
  </r>
  <r>
    <s v="LN0418"/>
    <d v="2024-07-16T00:00:00"/>
    <n v="33"/>
    <s v="Salaried"/>
    <n v="2119933"/>
    <n v="515"/>
    <n v="788110"/>
    <n v="14"/>
    <n v="60"/>
    <s v="Home"/>
    <n v="0.36"/>
    <s v="West"/>
    <x v="0"/>
    <n v="0"/>
    <s v="Poor"/>
    <s v="Medium"/>
  </r>
  <r>
    <s v="LN0419"/>
    <d v="2024-06-06T00:00:00"/>
    <n v="38"/>
    <s v="Salaried"/>
    <n v="336081"/>
    <n v="840"/>
    <n v="951450"/>
    <n v="13"/>
    <n v="12"/>
    <s v="Home"/>
    <n v="0.36"/>
    <s v="North"/>
    <x v="3"/>
    <n v="0"/>
    <s v="Excellent"/>
    <s v="Medium"/>
  </r>
  <r>
    <s v="LN0420"/>
    <d v="2024-12-06T00:00:00"/>
    <n v="47"/>
    <s v="Self-Employed"/>
    <n v="1101165"/>
    <n v="548"/>
    <n v="252904"/>
    <n v="6"/>
    <n v="12"/>
    <s v="Personal"/>
    <n v="0.13"/>
    <s v="Central"/>
    <x v="2"/>
    <n v="0"/>
    <s v="Poor"/>
    <s v="Low"/>
  </r>
  <r>
    <s v="LN0421"/>
    <d v="2023-07-16T00:00:00"/>
    <n v="31"/>
    <s v="Business"/>
    <n v="1460217"/>
    <n v="719"/>
    <n v="1879791"/>
    <n v="15"/>
    <n v="60"/>
    <s v="Vehicle"/>
    <n v="0.16"/>
    <s v="East"/>
    <x v="0"/>
    <n v="0"/>
    <s v="Good"/>
    <s v="Low"/>
  </r>
  <r>
    <s v="LN0422"/>
    <d v="2025-08-03T00:00:00"/>
    <n v="40"/>
    <s v="Business"/>
    <n v="508385"/>
    <n v="711"/>
    <n v="445933"/>
    <n v="19"/>
    <n v="60"/>
    <s v="Business"/>
    <n v="0.5600000000000001"/>
    <s v="South"/>
    <x v="1"/>
    <n v="0"/>
    <s v="Good"/>
    <s v="High"/>
  </r>
  <r>
    <s v="LN0423"/>
    <d v="2023-02-05T00:00:00"/>
    <n v="35"/>
    <s v="Self-Employed"/>
    <n v="1102953"/>
    <n v="429"/>
    <n v="950821"/>
    <n v="21"/>
    <n v="24"/>
    <s v="Education"/>
    <n v="0.36"/>
    <s v="East"/>
    <x v="0"/>
    <n v="0"/>
    <s v="Poor"/>
    <s v="Medium"/>
  </r>
  <r>
    <s v="LN0424"/>
    <d v="2024-07-12T00:00:00"/>
    <n v="31"/>
    <s v="Salaried"/>
    <n v="946956"/>
    <n v="454"/>
    <n v="336352"/>
    <n v="12"/>
    <n v="24"/>
    <s v="Business"/>
    <n v="0.48"/>
    <s v="East"/>
    <x v="3"/>
    <n v="0"/>
    <s v="Poor"/>
    <s v="High"/>
  </r>
  <r>
    <s v="LN0425"/>
    <d v="2023-06-19T00:00:00"/>
    <n v="31"/>
    <s v="Self-Employed"/>
    <n v="944543"/>
    <n v="373"/>
    <n v="1334742"/>
    <n v="19"/>
    <n v="36"/>
    <s v="Medical"/>
    <n v="0.39"/>
    <s v="North"/>
    <x v="1"/>
    <n v="1"/>
    <s v="Poor"/>
    <s v="Medium"/>
  </r>
  <r>
    <s v="LN0426"/>
    <d v="2024-03-25T00:00:00"/>
    <n v="41"/>
    <s v="Business"/>
    <n v="1628963"/>
    <n v="395"/>
    <n v="1472196"/>
    <n v="9"/>
    <n v="24"/>
    <s v="Personal"/>
    <n v="0.2"/>
    <s v="North"/>
    <x v="3"/>
    <n v="0"/>
    <s v="Poor"/>
    <s v="Medium"/>
  </r>
  <r>
    <s v="LN0427"/>
    <d v="2023-11-30T00:00:00"/>
    <n v="21"/>
    <s v="Business"/>
    <n v="780587"/>
    <n v="429"/>
    <n v="446739"/>
    <n v="21"/>
    <n v="60"/>
    <s v="Medical"/>
    <n v="0.2"/>
    <s v="East"/>
    <x v="2"/>
    <n v="0"/>
    <s v="Poor"/>
    <s v="Medium"/>
  </r>
  <r>
    <s v="LN0428"/>
    <d v="2024-02-03T00:00:00"/>
    <n v="25"/>
    <s v="Business"/>
    <n v="260428"/>
    <n v="817"/>
    <n v="500110"/>
    <n v="18"/>
    <n v="12"/>
    <s v="Business"/>
    <n v="0.48"/>
    <s v="East"/>
    <x v="2"/>
    <n v="0"/>
    <s v="Excellent"/>
    <s v="High"/>
  </r>
  <r>
    <s v="LN0429"/>
    <d v="2024-10-23T00:00:00"/>
    <n v="52"/>
    <s v="Self-Employed"/>
    <n v="1202026"/>
    <n v="425"/>
    <n v="1456597"/>
    <n v="7"/>
    <n v="60"/>
    <s v="Home"/>
    <n v="0.55"/>
    <s v="East"/>
    <x v="1"/>
    <n v="1"/>
    <s v="Poor"/>
    <s v="High"/>
  </r>
  <r>
    <s v="LN0430"/>
    <d v="2025-03-28T00:00:00"/>
    <n v="64"/>
    <s v="Business"/>
    <n v="1669563"/>
    <n v="333"/>
    <n v="1282783"/>
    <n v="20"/>
    <n v="36"/>
    <s v="Business"/>
    <n v="0.46"/>
    <s v="West"/>
    <x v="1"/>
    <n v="1"/>
    <s v="Poor"/>
    <s v="High"/>
  </r>
  <r>
    <s v="LN0431"/>
    <d v="2023-12-19T00:00:00"/>
    <n v="37"/>
    <s v="Salaried"/>
    <n v="2042833"/>
    <n v="828"/>
    <n v="380116"/>
    <n v="12"/>
    <n v="12"/>
    <s v="Personal"/>
    <n v="0.29"/>
    <s v="South"/>
    <x v="3"/>
    <n v="0"/>
    <s v="Excellent"/>
    <s v="Medium"/>
  </r>
  <r>
    <s v="LN0432"/>
    <d v="2023-07-08T00:00:00"/>
    <n v="52"/>
    <s v="Self-Employed"/>
    <n v="1543199"/>
    <n v="679"/>
    <n v="923069"/>
    <n v="14"/>
    <n v="24"/>
    <s v="Personal"/>
    <n v="0.5"/>
    <s v="East"/>
    <x v="2"/>
    <n v="0"/>
    <s v="Good"/>
    <s v="High"/>
  </r>
  <r>
    <s v="LN0433"/>
    <d v="2023-09-15T00:00:00"/>
    <n v="22"/>
    <s v="Salaried"/>
    <n v="550850"/>
    <n v="717"/>
    <n v="847873"/>
    <n v="14"/>
    <n v="60"/>
    <s v="Vehicle"/>
    <n v="0.14"/>
    <s v="East"/>
    <x v="0"/>
    <n v="0"/>
    <s v="Good"/>
    <s v="Low"/>
  </r>
  <r>
    <s v="LN0434"/>
    <d v="2023-07-11T00:00:00"/>
    <n v="53"/>
    <s v="Salaried"/>
    <n v="1931737"/>
    <n v="535"/>
    <n v="1073291"/>
    <n v="13"/>
    <n v="24"/>
    <s v="Personal"/>
    <n v="0.31"/>
    <s v="North"/>
    <x v="0"/>
    <n v="0"/>
    <s v="Poor"/>
    <s v="Medium"/>
  </r>
  <r>
    <s v="LN0435"/>
    <d v="2025-10-07T00:00:00"/>
    <n v="44"/>
    <s v="Salaried"/>
    <n v="1905001"/>
    <n v="327"/>
    <n v="74778"/>
    <n v="7"/>
    <n v="12"/>
    <s v="Medical"/>
    <n v="0.34"/>
    <s v="North"/>
    <x v="0"/>
    <n v="0"/>
    <s v="Poor"/>
    <s v="Medium"/>
  </r>
  <r>
    <s v="LN0436"/>
    <d v="2024-02-22T00:00:00"/>
    <n v="27"/>
    <s v="Business"/>
    <n v="1405661"/>
    <n v="379"/>
    <n v="787954"/>
    <n v="9"/>
    <n v="24"/>
    <s v="Vehicle"/>
    <n v="0.39"/>
    <s v="North"/>
    <x v="1"/>
    <n v="0"/>
    <s v="Poor"/>
    <s v="Medium"/>
  </r>
  <r>
    <s v="LN0437"/>
    <d v="2025-02-20T00:00:00"/>
    <n v="38"/>
    <s v="Self-Employed"/>
    <n v="2070721"/>
    <n v="787"/>
    <n v="1292460"/>
    <n v="16"/>
    <n v="12"/>
    <s v="Vehicle"/>
    <n v="0.34"/>
    <s v="Central"/>
    <x v="0"/>
    <n v="0"/>
    <s v="Excellent"/>
    <s v="Medium"/>
  </r>
  <r>
    <s v="LN0438"/>
    <d v="2023-01-16T00:00:00"/>
    <n v="33"/>
    <s v="Self-Employed"/>
    <n v="676214"/>
    <n v="724"/>
    <n v="262731"/>
    <n v="17"/>
    <n v="36"/>
    <s v="Personal"/>
    <n v="0.5600000000000001"/>
    <s v="South"/>
    <x v="2"/>
    <n v="0"/>
    <s v="Good"/>
    <s v="High"/>
  </r>
  <r>
    <s v="LN0439"/>
    <d v="2024-05-11T00:00:00"/>
    <n v="55"/>
    <s v="Self-Employed"/>
    <n v="1968931"/>
    <n v="633"/>
    <n v="1451572"/>
    <n v="19"/>
    <n v="36"/>
    <s v="Education"/>
    <n v="0.13"/>
    <s v="Central"/>
    <x v="1"/>
    <n v="0"/>
    <s v="Fair"/>
    <s v="Low"/>
  </r>
  <r>
    <s v="LN0440"/>
    <d v="2023-06-30T00:00:00"/>
    <n v="26"/>
    <s v="Business"/>
    <n v="2106820"/>
    <n v="746"/>
    <n v="490006"/>
    <n v="21"/>
    <n v="24"/>
    <s v="Education"/>
    <n v="0.58"/>
    <s v="North"/>
    <x v="3"/>
    <n v="0"/>
    <s v="Excellent"/>
    <s v="High"/>
  </r>
  <r>
    <s v="LN0441"/>
    <d v="2023-05-03T00:00:00"/>
    <n v="59"/>
    <s v="Business"/>
    <n v="449433"/>
    <n v="333"/>
    <n v="205845"/>
    <n v="11"/>
    <n v="12"/>
    <s v="Home"/>
    <n v="0.5"/>
    <s v="West"/>
    <x v="3"/>
    <n v="1"/>
    <s v="Poor"/>
    <s v="High"/>
  </r>
  <r>
    <s v="LN0442"/>
    <d v="2025-03-11T00:00:00"/>
    <n v="34"/>
    <s v="Salaried"/>
    <n v="348110"/>
    <n v="400"/>
    <n v="1972767"/>
    <n v="11"/>
    <n v="60"/>
    <s v="Education"/>
    <n v="0.49"/>
    <s v="East"/>
    <x v="0"/>
    <n v="1"/>
    <s v="Poor"/>
    <s v="High"/>
  </r>
  <r>
    <s v="LN0443"/>
    <d v="2024-01-24T00:00:00"/>
    <n v="29"/>
    <s v="Self-Employed"/>
    <n v="1612002"/>
    <n v="605"/>
    <n v="1822989"/>
    <n v="18"/>
    <n v="36"/>
    <s v="Medical"/>
    <n v="0.35"/>
    <s v="South"/>
    <x v="2"/>
    <n v="1"/>
    <s v="Fair"/>
    <s v="Medium"/>
  </r>
  <r>
    <s v="LN0444"/>
    <d v="2025-08-22T00:00:00"/>
    <n v="48"/>
    <s v="Self-Employed"/>
    <n v="871341"/>
    <n v="641"/>
    <n v="484372"/>
    <n v="24"/>
    <n v="24"/>
    <s v="Education"/>
    <n v="0.24"/>
    <s v="Central"/>
    <x v="1"/>
    <n v="0"/>
    <s v="Fair"/>
    <s v="Medium"/>
  </r>
  <r>
    <s v="LN0445"/>
    <d v="2024-11-13T00:00:00"/>
    <n v="24"/>
    <s v="Business"/>
    <n v="1715005"/>
    <n v="771"/>
    <n v="792679"/>
    <n v="9"/>
    <n v="36"/>
    <s v="Home"/>
    <n v="0.26"/>
    <s v="South"/>
    <x v="2"/>
    <n v="0"/>
    <s v="Excellent"/>
    <s v="Medium"/>
  </r>
  <r>
    <s v="LN0446"/>
    <d v="2024-07-26T00:00:00"/>
    <n v="55"/>
    <s v="Salaried"/>
    <n v="2164660"/>
    <n v="511"/>
    <n v="1067777"/>
    <n v="17"/>
    <n v="12"/>
    <s v="Home"/>
    <n v="0.48"/>
    <s v="East"/>
    <x v="0"/>
    <n v="1"/>
    <s v="Poor"/>
    <s v="High"/>
  </r>
  <r>
    <s v="LN0447"/>
    <d v="2024-03-19T00:00:00"/>
    <n v="60"/>
    <s v="Self-Employed"/>
    <n v="529856"/>
    <n v="719"/>
    <n v="157945"/>
    <n v="16"/>
    <n v="12"/>
    <s v="Personal"/>
    <n v="0.22"/>
    <s v="South"/>
    <x v="2"/>
    <n v="0"/>
    <s v="Good"/>
    <s v="Medium"/>
  </r>
  <r>
    <s v="LN0448"/>
    <d v="2025-11-08T00:00:00"/>
    <n v="23"/>
    <s v="Business"/>
    <n v="1557122"/>
    <n v="660"/>
    <n v="1597669"/>
    <n v="19"/>
    <n v="36"/>
    <s v="Business"/>
    <n v="0.57"/>
    <s v="East"/>
    <x v="1"/>
    <n v="1"/>
    <s v="Fair"/>
    <s v="High"/>
  </r>
  <r>
    <s v="LN0449"/>
    <d v="2023-10-14T00:00:00"/>
    <n v="60"/>
    <s v="Self-Employed"/>
    <n v="352843"/>
    <n v="545"/>
    <n v="407941"/>
    <n v="19"/>
    <n v="12"/>
    <s v="Personal"/>
    <n v="0.6"/>
    <s v="Central"/>
    <x v="0"/>
    <n v="1"/>
    <s v="Poor"/>
    <s v="High"/>
  </r>
  <r>
    <s v="LN0450"/>
    <d v="2025-10-25T00:00:00"/>
    <n v="60"/>
    <s v="Self-Employed"/>
    <n v="491715"/>
    <n v="389"/>
    <n v="1555411"/>
    <n v="9"/>
    <n v="36"/>
    <s v="Medical"/>
    <n v="0.38"/>
    <s v="West"/>
    <x v="1"/>
    <n v="1"/>
    <s v="Poor"/>
    <s v="Medium"/>
  </r>
  <r>
    <s v="LN0451"/>
    <d v="2024-11-22T00:00:00"/>
    <n v="54"/>
    <s v="Salaried"/>
    <n v="1463151"/>
    <n v="729"/>
    <n v="1452009"/>
    <n v="8"/>
    <n v="24"/>
    <s v="Medical"/>
    <n v="0.42"/>
    <s v="South"/>
    <x v="3"/>
    <n v="0"/>
    <s v="Good"/>
    <s v="High"/>
  </r>
  <r>
    <s v="LN0452"/>
    <d v="2023-10-30T00:00:00"/>
    <n v="32"/>
    <s v="Salaried"/>
    <n v="1497999"/>
    <n v="628"/>
    <n v="604690"/>
    <n v="8"/>
    <n v="12"/>
    <s v="Medical"/>
    <n v="0.5"/>
    <s v="South"/>
    <x v="0"/>
    <n v="0"/>
    <s v="Fair"/>
    <s v="High"/>
  </r>
  <r>
    <s v="LN0453"/>
    <d v="2024-05-16T00:00:00"/>
    <n v="31"/>
    <s v="Self-Employed"/>
    <n v="2229388"/>
    <n v="352"/>
    <n v="1952293"/>
    <n v="18"/>
    <n v="24"/>
    <s v="Personal"/>
    <n v="0.47"/>
    <s v="East"/>
    <x v="3"/>
    <n v="0"/>
    <s v="Poor"/>
    <s v="High"/>
  </r>
  <r>
    <s v="LN0454"/>
    <d v="2024-06-21T00:00:00"/>
    <n v="54"/>
    <s v="Salaried"/>
    <n v="889113"/>
    <n v="435"/>
    <n v="214914"/>
    <n v="16"/>
    <n v="36"/>
    <s v="Education"/>
    <n v="0.24"/>
    <s v="South"/>
    <x v="0"/>
    <n v="0"/>
    <s v="Poor"/>
    <s v="Medium"/>
  </r>
  <r>
    <s v="LN0455"/>
    <d v="2024-02-20T00:00:00"/>
    <n v="31"/>
    <s v="Self-Employed"/>
    <n v="1409051"/>
    <n v="444"/>
    <n v="1454486"/>
    <n v="16"/>
    <n v="36"/>
    <s v="Home"/>
    <n v="0.51"/>
    <s v="North"/>
    <x v="2"/>
    <n v="0"/>
    <s v="Poor"/>
    <s v="High"/>
  </r>
  <r>
    <s v="LN0456"/>
    <d v="2025-04-05T00:00:00"/>
    <n v="21"/>
    <s v="Self-Employed"/>
    <n v="2190046"/>
    <n v="591"/>
    <n v="325586"/>
    <n v="20"/>
    <n v="12"/>
    <s v="Personal"/>
    <n v="0.38"/>
    <s v="West"/>
    <x v="3"/>
    <n v="1"/>
    <s v="Fair"/>
    <s v="Medium"/>
  </r>
  <r>
    <s v="LN0457"/>
    <d v="2023-09-19T00:00:00"/>
    <n v="35"/>
    <s v="Self-Employed"/>
    <n v="796049"/>
    <n v="690"/>
    <n v="863376"/>
    <n v="10"/>
    <n v="12"/>
    <s v="Education"/>
    <n v="0.18"/>
    <s v="North"/>
    <x v="2"/>
    <n v="0"/>
    <s v="Good"/>
    <s v="Low"/>
  </r>
  <r>
    <s v="LN0458"/>
    <d v="2024-01-08T00:00:00"/>
    <n v="31"/>
    <s v="Self-Employed"/>
    <n v="1208106"/>
    <n v="847"/>
    <n v="489285"/>
    <n v="14"/>
    <n v="36"/>
    <s v="Home"/>
    <n v="0.37"/>
    <s v="Central"/>
    <x v="0"/>
    <n v="0"/>
    <s v="Excellent"/>
    <s v="Medium"/>
  </r>
  <r>
    <s v="LN0459"/>
    <d v="2024-09-17T00:00:00"/>
    <n v="32"/>
    <s v="Business"/>
    <n v="765883"/>
    <n v="506"/>
    <n v="1095873"/>
    <n v="8"/>
    <n v="60"/>
    <s v="Education"/>
    <n v="0.6"/>
    <s v="North"/>
    <x v="2"/>
    <n v="1"/>
    <s v="Poor"/>
    <s v="High"/>
  </r>
  <r>
    <s v="LN0460"/>
    <d v="2024-09-10T00:00:00"/>
    <n v="48"/>
    <s v="Salaried"/>
    <n v="1532518"/>
    <n v="550"/>
    <n v="1197216"/>
    <n v="16"/>
    <n v="36"/>
    <s v="Home"/>
    <n v="0.12"/>
    <s v="East"/>
    <x v="3"/>
    <n v="1"/>
    <s v="Poor"/>
    <s v="Low"/>
  </r>
  <r>
    <s v="LN0461"/>
    <d v="2025-10-03T00:00:00"/>
    <n v="52"/>
    <s v="Business"/>
    <n v="1753297"/>
    <n v="676"/>
    <n v="149067"/>
    <n v="20"/>
    <n v="60"/>
    <s v="Medical"/>
    <n v="0.31"/>
    <s v="South"/>
    <x v="2"/>
    <n v="0"/>
    <s v="Good"/>
    <s v="Medium"/>
  </r>
  <r>
    <s v="LN0462"/>
    <d v="2025-09-28T00:00:00"/>
    <n v="59"/>
    <s v="Salaried"/>
    <n v="1032433"/>
    <n v="550"/>
    <n v="1290993"/>
    <n v="18"/>
    <n v="36"/>
    <s v="Business"/>
    <n v="0.25"/>
    <s v="North"/>
    <x v="2"/>
    <n v="0"/>
    <s v="Poor"/>
    <s v="Medium"/>
  </r>
  <r>
    <s v="LN0463"/>
    <d v="2025-09-12T00:00:00"/>
    <n v="21"/>
    <s v="Self-Employed"/>
    <n v="1135679"/>
    <n v="465"/>
    <n v="1083457"/>
    <n v="8"/>
    <n v="60"/>
    <s v="Home"/>
    <n v="0.37"/>
    <s v="South"/>
    <x v="0"/>
    <n v="0"/>
    <s v="Poor"/>
    <s v="Medium"/>
  </r>
  <r>
    <s v="LN0464"/>
    <d v="2023-09-21T00:00:00"/>
    <n v="60"/>
    <s v="Business"/>
    <n v="515630"/>
    <n v="752"/>
    <n v="1967539"/>
    <n v="6"/>
    <n v="24"/>
    <s v="Medical"/>
    <n v="0.19"/>
    <s v="South"/>
    <x v="3"/>
    <n v="0"/>
    <s v="Excellent"/>
    <s v="Low"/>
  </r>
  <r>
    <s v="LN0465"/>
    <d v="2023-03-16T00:00:00"/>
    <n v="63"/>
    <s v="Self-Employed"/>
    <n v="441160"/>
    <n v="684"/>
    <n v="467062"/>
    <n v="12"/>
    <n v="36"/>
    <s v="Business"/>
    <n v="0.33"/>
    <s v="North"/>
    <x v="3"/>
    <n v="1"/>
    <s v="Good"/>
    <s v="Medium"/>
  </r>
  <r>
    <s v="LN0466"/>
    <d v="2024-09-08T00:00:00"/>
    <n v="51"/>
    <s v="Salaried"/>
    <n v="739866"/>
    <n v="513"/>
    <n v="1535884"/>
    <n v="8"/>
    <n v="60"/>
    <s v="Personal"/>
    <n v="0.33"/>
    <s v="Central"/>
    <x v="0"/>
    <n v="0"/>
    <s v="Poor"/>
    <s v="Medium"/>
  </r>
  <r>
    <s v="LN0467"/>
    <d v="2023-04-08T00:00:00"/>
    <n v="30"/>
    <s v="Self-Employed"/>
    <n v="1915220"/>
    <n v="373"/>
    <n v="67867"/>
    <n v="19"/>
    <n v="60"/>
    <s v="Education"/>
    <n v="0.32"/>
    <s v="West"/>
    <x v="1"/>
    <n v="0"/>
    <s v="Poor"/>
    <s v="Medium"/>
  </r>
  <r>
    <s v="LN0468"/>
    <d v="2025-04-19T00:00:00"/>
    <n v="46"/>
    <s v="Salaried"/>
    <n v="1738020"/>
    <n v="571"/>
    <n v="1703309"/>
    <n v="6"/>
    <n v="36"/>
    <s v="Vehicle"/>
    <n v="0.21"/>
    <s v="North"/>
    <x v="3"/>
    <n v="1"/>
    <s v="Poor"/>
    <s v="Medium"/>
  </r>
  <r>
    <s v="LN0469"/>
    <d v="2023-03-30T00:00:00"/>
    <n v="32"/>
    <s v="Salaried"/>
    <n v="1574703"/>
    <n v="425"/>
    <n v="1736420"/>
    <n v="23"/>
    <n v="36"/>
    <s v="Business"/>
    <n v="0.27"/>
    <s v="East"/>
    <x v="1"/>
    <n v="0"/>
    <s v="Poor"/>
    <s v="Medium"/>
  </r>
  <r>
    <s v="LN0470"/>
    <d v="2025-11-20T00:00:00"/>
    <n v="62"/>
    <s v="Salaried"/>
    <n v="1637105"/>
    <n v="660"/>
    <n v="1232842"/>
    <n v="22"/>
    <n v="12"/>
    <s v="Personal"/>
    <n v="0.44"/>
    <s v="South"/>
    <x v="3"/>
    <n v="0"/>
    <s v="Fair"/>
    <s v="High"/>
  </r>
  <r>
    <s v="LN0471"/>
    <d v="2025-08-25T00:00:00"/>
    <n v="24"/>
    <s v="Salaried"/>
    <n v="1615487"/>
    <n v="487"/>
    <n v="1370838"/>
    <n v="9"/>
    <n v="12"/>
    <s v="Medical"/>
    <n v="0.34"/>
    <s v="Central"/>
    <x v="1"/>
    <n v="0"/>
    <s v="Poor"/>
    <s v="Medium"/>
  </r>
  <r>
    <s v="LN0472"/>
    <d v="2023-07-23T00:00:00"/>
    <n v="27"/>
    <s v="Business"/>
    <n v="1922628"/>
    <n v="558"/>
    <n v="1254318"/>
    <n v="20"/>
    <n v="24"/>
    <s v="Medical"/>
    <n v="0.51"/>
    <s v="North"/>
    <x v="1"/>
    <n v="1"/>
    <s v="Poor"/>
    <s v="High"/>
  </r>
  <r>
    <s v="LN0473"/>
    <d v="2023-04-11T00:00:00"/>
    <n v="23"/>
    <s v="Self-Employed"/>
    <n v="1305630"/>
    <n v="347"/>
    <n v="149403"/>
    <n v="16"/>
    <n v="36"/>
    <s v="Medical"/>
    <n v="0.19"/>
    <s v="Central"/>
    <x v="0"/>
    <n v="0"/>
    <s v="Poor"/>
    <s v="Low"/>
  </r>
  <r>
    <s v="LN0474"/>
    <d v="2023-09-22T00:00:00"/>
    <n v="34"/>
    <s v="Self-Employed"/>
    <n v="2378231"/>
    <n v="389"/>
    <n v="583370"/>
    <n v="7"/>
    <n v="24"/>
    <s v="Personal"/>
    <n v="0.3"/>
    <s v="Central"/>
    <x v="2"/>
    <n v="0"/>
    <s v="Poor"/>
    <s v="Medium"/>
  </r>
  <r>
    <s v="LN0475"/>
    <d v="2025-03-14T00:00:00"/>
    <n v="23"/>
    <s v="Business"/>
    <n v="1721751"/>
    <n v="746"/>
    <n v="941527"/>
    <n v="13"/>
    <n v="36"/>
    <s v="Home"/>
    <n v="0.21"/>
    <s v="Central"/>
    <x v="0"/>
    <n v="0"/>
    <s v="Excellent"/>
    <s v="Medium"/>
  </r>
  <r>
    <s v="LN0476"/>
    <d v="2023-03-08T00:00:00"/>
    <n v="28"/>
    <s v="Salaried"/>
    <n v="1685566"/>
    <n v="652"/>
    <n v="1331626"/>
    <n v="18"/>
    <n v="60"/>
    <s v="Personal"/>
    <n v="0.49"/>
    <s v="South"/>
    <x v="3"/>
    <n v="0"/>
    <s v="Fair"/>
    <s v="High"/>
  </r>
  <r>
    <s v="LN0477"/>
    <d v="2025-08-18T00:00:00"/>
    <n v="52"/>
    <s v="Salaried"/>
    <n v="432881"/>
    <n v="584"/>
    <n v="399666"/>
    <n v="6"/>
    <n v="12"/>
    <s v="Vehicle"/>
    <n v="0.5600000000000001"/>
    <s v="South"/>
    <x v="0"/>
    <n v="1"/>
    <s v="Fair"/>
    <s v="High"/>
  </r>
  <r>
    <s v="LN0478"/>
    <d v="2023-03-13T00:00:00"/>
    <n v="65"/>
    <s v="Business"/>
    <n v="821986"/>
    <n v="343"/>
    <n v="368727"/>
    <n v="18"/>
    <n v="60"/>
    <s v="Business"/>
    <n v="0.22"/>
    <s v="East"/>
    <x v="3"/>
    <n v="0"/>
    <s v="Poor"/>
    <s v="Medium"/>
  </r>
  <r>
    <s v="LN0479"/>
    <d v="2024-10-22T00:00:00"/>
    <n v="35"/>
    <s v="Business"/>
    <n v="1388911"/>
    <n v="600"/>
    <n v="713483"/>
    <n v="18"/>
    <n v="60"/>
    <s v="Personal"/>
    <n v="0.38"/>
    <s v="North"/>
    <x v="1"/>
    <n v="0"/>
    <s v="Fair"/>
    <s v="Medium"/>
  </r>
  <r>
    <s v="LN0480"/>
    <d v="2025-05-21T00:00:00"/>
    <n v="28"/>
    <s v="Self-Employed"/>
    <n v="1536879"/>
    <n v="575"/>
    <n v="1153151"/>
    <n v="13"/>
    <n v="24"/>
    <s v="Education"/>
    <n v="0.2"/>
    <s v="North"/>
    <x v="3"/>
    <n v="0"/>
    <s v="Poor"/>
    <s v="Medium"/>
  </r>
  <r>
    <s v="LN0481"/>
    <d v="2024-02-21T00:00:00"/>
    <n v="22"/>
    <s v="Salaried"/>
    <n v="922822"/>
    <n v="510"/>
    <n v="322923"/>
    <n v="24"/>
    <n v="12"/>
    <s v="Vehicle"/>
    <n v="0.18"/>
    <s v="South"/>
    <x v="3"/>
    <n v="0"/>
    <s v="Poor"/>
    <s v="Low"/>
  </r>
  <r>
    <s v="LN0482"/>
    <d v="2025-12-20T00:00:00"/>
    <n v="35"/>
    <s v="Business"/>
    <n v="1390182"/>
    <n v="685"/>
    <n v="1369782"/>
    <n v="12"/>
    <n v="12"/>
    <s v="Personal"/>
    <n v="0.24"/>
    <s v="East"/>
    <x v="1"/>
    <n v="0"/>
    <s v="Good"/>
    <s v="Medium"/>
  </r>
  <r>
    <s v="LN0483"/>
    <d v="2023-01-23T00:00:00"/>
    <n v="62"/>
    <s v="Salaried"/>
    <n v="1789818"/>
    <n v="745"/>
    <n v="573189"/>
    <n v="13"/>
    <n v="24"/>
    <s v="Medical"/>
    <n v="0.27"/>
    <s v="Central"/>
    <x v="0"/>
    <n v="0"/>
    <s v="Excellent"/>
    <s v="Medium"/>
  </r>
  <r>
    <s v="LN0484"/>
    <d v="2025-05-15T00:00:00"/>
    <n v="65"/>
    <s v="Self-Employed"/>
    <n v="1378589"/>
    <n v="623"/>
    <n v="1881809"/>
    <n v="23"/>
    <n v="24"/>
    <s v="Business"/>
    <n v="0.5600000000000001"/>
    <s v="West"/>
    <x v="0"/>
    <n v="1"/>
    <s v="Fair"/>
    <s v="High"/>
  </r>
  <r>
    <s v="LN0485"/>
    <d v="2023-11-02T00:00:00"/>
    <n v="49"/>
    <s v="Salaried"/>
    <n v="1966083"/>
    <n v="595"/>
    <n v="673505"/>
    <n v="13"/>
    <n v="12"/>
    <s v="Medical"/>
    <n v="0.11"/>
    <s v="West"/>
    <x v="3"/>
    <n v="0"/>
    <s v="Fair"/>
    <s v="Low"/>
  </r>
  <r>
    <s v="LN0486"/>
    <d v="2025-02-08T00:00:00"/>
    <n v="52"/>
    <s v="Business"/>
    <n v="2076487"/>
    <n v="776"/>
    <n v="1043915"/>
    <n v="6"/>
    <n v="24"/>
    <s v="Home"/>
    <n v="0.45"/>
    <s v="Central"/>
    <x v="3"/>
    <n v="0"/>
    <s v="Excellent"/>
    <s v="High"/>
  </r>
  <r>
    <s v="LN0487"/>
    <d v="2025-01-19T00:00:00"/>
    <n v="51"/>
    <s v="Self-Employed"/>
    <n v="1509214"/>
    <n v="842"/>
    <n v="519780"/>
    <n v="16"/>
    <n v="60"/>
    <s v="Education"/>
    <n v="0.15"/>
    <s v="North"/>
    <x v="1"/>
    <n v="1"/>
    <s v="Excellent"/>
    <s v="Low"/>
  </r>
  <r>
    <s v="LN0488"/>
    <d v="2023-07-04T00:00:00"/>
    <n v="49"/>
    <s v="Business"/>
    <n v="2249372"/>
    <n v="725"/>
    <n v="1575098"/>
    <n v="15"/>
    <n v="36"/>
    <s v="Business"/>
    <n v="0.35"/>
    <s v="South"/>
    <x v="3"/>
    <n v="0"/>
    <s v="Good"/>
    <s v="Medium"/>
  </r>
  <r>
    <s v="LN0489"/>
    <d v="2024-08-15T00:00:00"/>
    <n v="31"/>
    <s v="Salaried"/>
    <n v="2014954"/>
    <n v="448"/>
    <n v="1441769"/>
    <n v="12"/>
    <n v="60"/>
    <s v="Vehicle"/>
    <n v="0.45"/>
    <s v="Central"/>
    <x v="2"/>
    <n v="0"/>
    <s v="Poor"/>
    <s v="High"/>
  </r>
  <r>
    <s v="LN0490"/>
    <d v="2024-01-29T00:00:00"/>
    <n v="35"/>
    <s v="Salaried"/>
    <n v="1774730"/>
    <n v="313"/>
    <n v="888101"/>
    <n v="9"/>
    <n v="36"/>
    <s v="Business"/>
    <n v="0.33"/>
    <s v="Central"/>
    <x v="3"/>
    <n v="0"/>
    <s v="Poor"/>
    <s v="Medium"/>
  </r>
  <r>
    <s v="LN0491"/>
    <d v="2025-07-31T00:00:00"/>
    <n v="24"/>
    <s v="Self-Employed"/>
    <n v="2207982"/>
    <n v="781"/>
    <n v="776969"/>
    <n v="17"/>
    <n v="24"/>
    <s v="Vehicle"/>
    <n v="0.5"/>
    <s v="West"/>
    <x v="2"/>
    <n v="0"/>
    <s v="Excellent"/>
    <s v="High"/>
  </r>
  <r>
    <s v="LN0492"/>
    <d v="2025-11-24T00:00:00"/>
    <n v="45"/>
    <s v="Self-Employed"/>
    <n v="459148"/>
    <n v="402"/>
    <n v="314264"/>
    <n v="9"/>
    <n v="24"/>
    <s v="Medical"/>
    <n v="0.59"/>
    <s v="East"/>
    <x v="2"/>
    <n v="1"/>
    <s v="Poor"/>
    <s v="High"/>
  </r>
  <r>
    <s v="LN0493"/>
    <d v="2024-07-20T00:00:00"/>
    <n v="28"/>
    <s v="Salaried"/>
    <n v="1028510"/>
    <n v="818"/>
    <n v="1413558"/>
    <n v="18"/>
    <n v="12"/>
    <s v="Medical"/>
    <n v="0.24"/>
    <s v="Central"/>
    <x v="1"/>
    <n v="0"/>
    <s v="Excellent"/>
    <s v="Medium"/>
  </r>
  <r>
    <s v="LN0494"/>
    <d v="2025-05-10T00:00:00"/>
    <n v="28"/>
    <s v="Self-Employed"/>
    <n v="2050965"/>
    <n v="689"/>
    <n v="125794"/>
    <n v="9"/>
    <n v="12"/>
    <s v="Vehicle"/>
    <n v="0.55"/>
    <s v="West"/>
    <x v="0"/>
    <n v="0"/>
    <s v="Good"/>
    <s v="High"/>
  </r>
  <r>
    <s v="LN0495"/>
    <d v="2025-06-03T00:00:00"/>
    <n v="38"/>
    <s v="Business"/>
    <n v="526907"/>
    <n v="386"/>
    <n v="1835380"/>
    <n v="14"/>
    <n v="36"/>
    <s v="Business"/>
    <n v="0.24"/>
    <s v="North"/>
    <x v="0"/>
    <n v="1"/>
    <s v="Poor"/>
    <s v="Medium"/>
  </r>
  <r>
    <s v="LN0496"/>
    <d v="2023-12-10T00:00:00"/>
    <n v="42"/>
    <s v="Salaried"/>
    <n v="1174410"/>
    <n v="611"/>
    <n v="1643070"/>
    <n v="14"/>
    <n v="36"/>
    <s v="Vehicle"/>
    <n v="0.31"/>
    <s v="Central"/>
    <x v="3"/>
    <n v="0"/>
    <s v="Fair"/>
    <s v="Medium"/>
  </r>
  <r>
    <s v="LN0497"/>
    <d v="2023-02-24T00:00:00"/>
    <n v="21"/>
    <s v="Salaried"/>
    <n v="640803"/>
    <n v="596"/>
    <n v="151485"/>
    <n v="9"/>
    <n v="24"/>
    <s v="Home"/>
    <n v="0.48"/>
    <s v="South"/>
    <x v="3"/>
    <n v="0"/>
    <s v="Fair"/>
    <s v="High"/>
  </r>
  <r>
    <s v="LN0498"/>
    <d v="2023-11-30T00:00:00"/>
    <n v="61"/>
    <s v="Self-Employed"/>
    <n v="1752328"/>
    <n v="717"/>
    <n v="1603292"/>
    <n v="14"/>
    <n v="24"/>
    <s v="Business"/>
    <n v="0.34"/>
    <s v="East"/>
    <x v="0"/>
    <n v="0"/>
    <s v="Good"/>
    <s v="Medium"/>
  </r>
  <r>
    <s v="LN0499"/>
    <d v="2025-12-01T00:00:00"/>
    <n v="33"/>
    <s v="Business"/>
    <n v="687250"/>
    <n v="495"/>
    <n v="594985"/>
    <n v="17"/>
    <n v="36"/>
    <s v="Education"/>
    <n v="0.36"/>
    <s v="West"/>
    <x v="1"/>
    <n v="0"/>
    <s v="Poor"/>
    <s v="Medium"/>
  </r>
  <r>
    <s v="LN0500"/>
    <d v="2025-05-04T00:00:00"/>
    <n v="54"/>
    <s v="Self-Employed"/>
    <n v="1260831"/>
    <n v="447"/>
    <n v="351589"/>
    <n v="7"/>
    <n v="12"/>
    <s v="Vehicle"/>
    <n v="0.31"/>
    <s v="North"/>
    <x v="3"/>
    <n v="1"/>
    <s v="Poor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6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Loan_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0" firstDataRow="1" firstDataCol="1"/>
  <pivotFields count="19">
    <pivotField dataField="1" showAll="0"/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3"/>
        <item x="0"/>
        <item x="2"/>
        <item x="5"/>
        <item x="1"/>
        <item x="4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oan_ID" fld="0" subtotal="count" baseField="0" baseItem="0"/>
    <dataField name="Sum of Loan_Amount" fld="6" baseField="0" baseItem="0"/>
    <dataField name="Sum of Default_Flag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200000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9">
    <pivotField dataField="1" showAll="0"/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0" baseItem="0"/>
    <dataField name="Sum of Default_Flag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300000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0" firstHeaderRow="0" firstDataRow="1" firstDataCol="1"/>
  <pivotFields count="19">
    <pivotField dataField="1" showAll="0"/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Loan_ID" fld="0" subtotal="count" baseField="0" baseItem="0"/>
    <dataField name="Sum of Loan_Amount" fld="6" baseField="0" baseItem="0"/>
    <dataField name="Sum of Default_Flag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400000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9">
    <pivotField dataField="1" showAll="0"/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0" baseItem="0"/>
    <dataField name="Sum of Default_Flag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5000000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9">
    <pivotField dataField="1" showAll="0">
      <items count="5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t="default"/>
      </items>
    </pivotField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0" baseItem="0"/>
    <dataField name="Sum of Default_Flag" fld="1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6000000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9">
    <pivotField dataField="1" showAll="0"/>
    <pivotField axis="axisRow"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8"/>
    <field x="17"/>
    <field x="16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0" baseItem="0"/>
    <dataField name="Sum of Loan_Amount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7000000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19">
    <pivotField dataField="1" showAll="0"/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0" baseItem="0"/>
    <dataField name="Sum of Loan_Amount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800000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1" firstHeaderRow="0" firstDataRow="1" firstDataCol="1"/>
  <pivotFields count="19">
    <pivotField dataField="1" showAll="0"/>
    <pivotField showAll="0">
      <items count="403">
        <item x="106"/>
        <item x="341"/>
        <item x="273"/>
        <item x="340"/>
        <item x="56"/>
        <item x="234"/>
        <item x="10"/>
        <item x="320"/>
        <item x="388"/>
        <item x="17"/>
        <item x="275"/>
        <item x="268"/>
        <item x="157"/>
        <item x="57"/>
        <item x="350"/>
        <item x="324"/>
        <item x="241"/>
        <item x="189"/>
        <item x="318"/>
        <item x="49"/>
        <item x="339"/>
        <item x="147"/>
        <item x="293"/>
        <item x="64"/>
        <item x="152"/>
        <item x="337"/>
        <item x="381"/>
        <item x="383"/>
        <item x="298"/>
        <item x="375"/>
        <item x="187"/>
        <item x="73"/>
        <item x="377"/>
        <item x="180"/>
        <item x="191"/>
        <item x="137"/>
        <item x="292"/>
        <item x="225"/>
        <item x="27"/>
        <item x="282"/>
        <item x="90"/>
        <item x="333"/>
        <item x="150"/>
        <item x="175"/>
        <item x="182"/>
        <item x="78"/>
        <item x="115"/>
        <item x="325"/>
        <item x="129"/>
        <item x="219"/>
        <item x="300"/>
        <item x="65"/>
        <item x="104"/>
        <item x="314"/>
        <item x="156"/>
        <item x="151"/>
        <item x="289"/>
        <item x="89"/>
        <item x="76"/>
        <item x="45"/>
        <item x="70"/>
        <item x="277"/>
        <item x="359"/>
        <item x="279"/>
        <item x="392"/>
        <item x="354"/>
        <item x="356"/>
        <item x="251"/>
        <item x="344"/>
        <item x="348"/>
        <item x="71"/>
        <item x="222"/>
        <item x="230"/>
        <item x="99"/>
        <item x="185"/>
        <item x="34"/>
        <item x="249"/>
        <item x="200"/>
        <item x="44"/>
        <item x="139"/>
        <item x="74"/>
        <item x="32"/>
        <item x="148"/>
        <item x="206"/>
        <item x="47"/>
        <item x="102"/>
        <item x="16"/>
        <item x="245"/>
        <item x="355"/>
        <item x="61"/>
        <item x="181"/>
        <item x="186"/>
        <item x="379"/>
        <item x="41"/>
        <item x="330"/>
        <item x="246"/>
        <item x="173"/>
        <item x="212"/>
        <item x="51"/>
        <item x="311"/>
        <item x="81"/>
        <item x="126"/>
        <item x="221"/>
        <item x="335"/>
        <item x="86"/>
        <item x="202"/>
        <item x="123"/>
        <item x="367"/>
        <item x="113"/>
        <item x="226"/>
        <item x="211"/>
        <item x="233"/>
        <item x="83"/>
        <item x="103"/>
        <item x="111"/>
        <item x="37"/>
        <item x="329"/>
        <item x="0"/>
        <item x="254"/>
        <item x="190"/>
        <item x="98"/>
        <item x="22"/>
        <item x="216"/>
        <item x="208"/>
        <item x="257"/>
        <item x="15"/>
        <item x="174"/>
        <item x="243"/>
        <item x="398"/>
        <item x="31"/>
        <item x="171"/>
        <item x="353"/>
        <item x="3"/>
        <item x="159"/>
        <item x="6"/>
        <item x="338"/>
        <item x="48"/>
        <item x="163"/>
        <item x="371"/>
        <item x="134"/>
        <item x="132"/>
        <item x="309"/>
        <item x="323"/>
        <item x="328"/>
        <item x="262"/>
        <item x="5"/>
        <item x="4"/>
        <item x="265"/>
        <item x="179"/>
        <item x="127"/>
        <item x="224"/>
        <item x="164"/>
        <item x="20"/>
        <item x="369"/>
        <item x="386"/>
        <item x="357"/>
        <item x="144"/>
        <item x="120"/>
        <item x="33"/>
        <item x="25"/>
        <item x="308"/>
        <item x="66"/>
        <item x="290"/>
        <item x="364"/>
        <item x="11"/>
        <item x="351"/>
        <item x="253"/>
        <item x="141"/>
        <item x="161"/>
        <item x="303"/>
        <item x="67"/>
        <item x="209"/>
        <item x="207"/>
        <item x="105"/>
        <item x="343"/>
        <item x="317"/>
        <item x="261"/>
        <item x="53"/>
        <item x="130"/>
        <item x="358"/>
        <item x="125"/>
        <item x="313"/>
        <item x="286"/>
        <item x="136"/>
        <item x="29"/>
        <item x="250"/>
        <item x="87"/>
        <item x="238"/>
        <item x="256"/>
        <item x="154"/>
        <item x="229"/>
        <item x="176"/>
        <item x="77"/>
        <item x="346"/>
        <item x="58"/>
        <item x="198"/>
        <item x="88"/>
        <item x="312"/>
        <item x="331"/>
        <item x="368"/>
        <item x="55"/>
        <item x="237"/>
        <item x="46"/>
        <item x="36"/>
        <item x="258"/>
        <item x="162"/>
        <item x="276"/>
        <item x="345"/>
        <item x="223"/>
        <item x="395"/>
        <item x="117"/>
        <item x="363"/>
        <item x="192"/>
        <item x="255"/>
        <item x="2"/>
        <item x="184"/>
        <item x="193"/>
        <item x="108"/>
        <item x="306"/>
        <item x="393"/>
        <item x="259"/>
        <item x="19"/>
        <item x="21"/>
        <item x="315"/>
        <item x="199"/>
        <item x="305"/>
        <item x="7"/>
        <item x="376"/>
        <item x="197"/>
        <item x="215"/>
        <item x="372"/>
        <item x="172"/>
        <item x="155"/>
        <item x="118"/>
        <item x="110"/>
        <item x="272"/>
        <item x="291"/>
        <item x="240"/>
        <item x="177"/>
        <item x="146"/>
        <item x="242"/>
        <item x="143"/>
        <item x="54"/>
        <item x="310"/>
        <item x="30"/>
        <item x="9"/>
        <item x="84"/>
        <item x="384"/>
        <item x="203"/>
        <item x="40"/>
        <item x="332"/>
        <item x="194"/>
        <item x="266"/>
        <item x="14"/>
        <item x="362"/>
        <item x="112"/>
        <item x="167"/>
        <item x="196"/>
        <item x="217"/>
        <item x="294"/>
        <item x="140"/>
        <item x="263"/>
        <item x="213"/>
        <item x="280"/>
        <item x="39"/>
        <item x="347"/>
        <item x="210"/>
        <item x="205"/>
        <item x="232"/>
        <item x="153"/>
        <item x="274"/>
        <item x="62"/>
        <item x="165"/>
        <item x="121"/>
        <item x="13"/>
        <item x="391"/>
        <item x="101"/>
        <item x="214"/>
        <item x="327"/>
        <item x="26"/>
        <item x="288"/>
        <item x="269"/>
        <item x="23"/>
        <item x="287"/>
        <item x="201"/>
        <item x="42"/>
        <item x="390"/>
        <item x="166"/>
        <item x="158"/>
        <item x="307"/>
        <item x="316"/>
        <item x="267"/>
        <item x="231"/>
        <item x="301"/>
        <item x="334"/>
        <item x="244"/>
        <item x="188"/>
        <item x="360"/>
        <item x="380"/>
        <item x="220"/>
        <item x="168"/>
        <item x="80"/>
        <item x="352"/>
        <item x="18"/>
        <item x="370"/>
        <item x="128"/>
        <item x="119"/>
        <item x="149"/>
        <item x="296"/>
        <item x="116"/>
        <item x="69"/>
        <item x="284"/>
        <item x="28"/>
        <item x="91"/>
        <item x="260"/>
        <item x="247"/>
        <item x="342"/>
        <item x="145"/>
        <item x="97"/>
        <item x="400"/>
        <item x="396"/>
        <item x="82"/>
        <item x="389"/>
        <item x="385"/>
        <item x="285"/>
        <item x="336"/>
        <item x="322"/>
        <item x="236"/>
        <item x="397"/>
        <item x="52"/>
        <item x="264"/>
        <item x="92"/>
        <item x="85"/>
        <item x="107"/>
        <item x="160"/>
        <item x="93"/>
        <item x="95"/>
        <item x="43"/>
        <item x="94"/>
        <item x="50"/>
        <item x="1"/>
        <item x="35"/>
        <item x="349"/>
        <item x="326"/>
        <item x="270"/>
        <item x="319"/>
        <item x="302"/>
        <item x="382"/>
        <item x="100"/>
        <item x="361"/>
        <item x="24"/>
        <item x="378"/>
        <item x="133"/>
        <item x="228"/>
        <item x="72"/>
        <item x="299"/>
        <item x="218"/>
        <item x="227"/>
        <item x="374"/>
        <item x="135"/>
        <item x="142"/>
        <item x="178"/>
        <item x="283"/>
        <item x="183"/>
        <item x="239"/>
        <item x="373"/>
        <item x="170"/>
        <item x="109"/>
        <item x="248"/>
        <item x="122"/>
        <item x="295"/>
        <item x="281"/>
        <item x="75"/>
        <item x="204"/>
        <item x="366"/>
        <item x="321"/>
        <item x="297"/>
        <item x="138"/>
        <item x="195"/>
        <item x="365"/>
        <item x="96"/>
        <item x="12"/>
        <item x="271"/>
        <item x="394"/>
        <item x="59"/>
        <item x="79"/>
        <item x="399"/>
        <item x="114"/>
        <item x="124"/>
        <item x="131"/>
        <item x="8"/>
        <item x="278"/>
        <item x="60"/>
        <item x="63"/>
        <item x="38"/>
        <item x="235"/>
        <item x="304"/>
        <item x="252"/>
        <item x="387"/>
        <item x="169"/>
        <item x="68"/>
        <item x="40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3"/>
        <item x="0"/>
        <item x="2"/>
        <item x="5"/>
        <item x="1"/>
        <item x="4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an_ID" fld="0" subtotal="count" baseField="0" baseItem="0"/>
    <dataField name="Sum of Loan_Amount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B8"/>
  <sheetViews>
    <sheetView showGridLines="0" zoomScale="90" workbookViewId="0">
      <pane ySplit="1" topLeftCell="A2" activePane="bottomLeft" state="frozen"/>
      <selection pane="bottomLeft" activeCell="D17" sqref="D17"/>
    </sheetView>
  </sheetViews>
  <sheetFormatPr defaultRowHeight="15" x14ac:dyDescent="0.25"/>
  <cols>
    <col min="1" max="1" width="14" style="2" bestFit="1" customWidth="1"/>
    <col min="2" max="2" width="19" style="2" bestFit="1" customWidth="1"/>
  </cols>
  <sheetData>
    <row r="1" spans="1:2" ht="26.1" customHeight="1" x14ac:dyDescent="0.25">
      <c r="A1" s="7"/>
      <c r="B1" s="7"/>
    </row>
    <row r="3" spans="1:2" x14ac:dyDescent="0.25">
      <c r="A3" s="8" t="s">
        <v>0</v>
      </c>
      <c r="B3" s="9" t="s">
        <v>1</v>
      </c>
    </row>
    <row r="4" spans="1:2" x14ac:dyDescent="0.25">
      <c r="A4" s="10" t="s">
        <v>2</v>
      </c>
      <c r="B4" s="10">
        <v>128</v>
      </c>
    </row>
    <row r="5" spans="1:2" x14ac:dyDescent="0.25">
      <c r="A5" s="9" t="s">
        <v>3</v>
      </c>
      <c r="B5" s="9">
        <v>142</v>
      </c>
    </row>
    <row r="6" spans="1:2" x14ac:dyDescent="0.25">
      <c r="A6" s="10" t="s">
        <v>4</v>
      </c>
      <c r="B6" s="10">
        <v>120</v>
      </c>
    </row>
    <row r="7" spans="1:2" x14ac:dyDescent="0.25">
      <c r="A7" s="9" t="s">
        <v>5</v>
      </c>
      <c r="B7" s="9">
        <v>110</v>
      </c>
    </row>
    <row r="8" spans="1:2" x14ac:dyDescent="0.25">
      <c r="A8" s="10" t="s">
        <v>6</v>
      </c>
      <c r="B8" s="10">
        <v>500</v>
      </c>
    </row>
  </sheetData>
  <autoFilter ref="A1:B8" xr:uid="{00000000-0009-0000-0000-000000000000}"/>
  <pageMargins left="0.3" right="0.3" top="0.5" bottom="0.5" header="0.3" footer="0.3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D11"/>
  <sheetViews>
    <sheetView showGridLines="0" zoomScale="9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1" style="2" bestFit="1" customWidth="1"/>
    <col min="4" max="4" width="22" style="2" bestFit="1" customWidth="1"/>
  </cols>
  <sheetData>
    <row r="1" spans="1:4" ht="26.1" customHeight="1" x14ac:dyDescent="0.25">
      <c r="A1" s="7"/>
      <c r="B1" s="7"/>
      <c r="C1" s="7"/>
      <c r="D1" s="7"/>
    </row>
    <row r="3" spans="1:4" x14ac:dyDescent="0.25">
      <c r="A3" s="8" t="s">
        <v>0</v>
      </c>
      <c r="B3" s="9" t="s">
        <v>1</v>
      </c>
      <c r="C3" s="9" t="s">
        <v>7</v>
      </c>
      <c r="D3" s="9" t="s">
        <v>8</v>
      </c>
    </row>
    <row r="4" spans="1:4" x14ac:dyDescent="0.25">
      <c r="A4" s="10" t="s">
        <v>9</v>
      </c>
      <c r="B4" s="10">
        <v>86</v>
      </c>
      <c r="C4" s="10">
        <v>98161861</v>
      </c>
      <c r="D4" s="10">
        <v>26</v>
      </c>
    </row>
    <row r="5" spans="1:4" x14ac:dyDescent="0.25">
      <c r="A5" s="9" t="s">
        <v>10</v>
      </c>
      <c r="B5" s="9">
        <v>80</v>
      </c>
      <c r="C5" s="9">
        <v>74740654</v>
      </c>
      <c r="D5" s="9">
        <v>21</v>
      </c>
    </row>
    <row r="6" spans="1:4" x14ac:dyDescent="0.25">
      <c r="A6" s="10" t="s">
        <v>11</v>
      </c>
      <c r="B6" s="10">
        <v>83</v>
      </c>
      <c r="C6" s="10">
        <v>81494659</v>
      </c>
      <c r="D6" s="10">
        <v>26</v>
      </c>
    </row>
    <row r="7" spans="1:4" x14ac:dyDescent="0.25">
      <c r="A7" s="9" t="s">
        <v>12</v>
      </c>
      <c r="B7" s="9">
        <v>88</v>
      </c>
      <c r="C7" s="9">
        <v>89416780</v>
      </c>
      <c r="D7" s="9">
        <v>33</v>
      </c>
    </row>
    <row r="8" spans="1:4" x14ac:dyDescent="0.25">
      <c r="A8" s="10" t="s">
        <v>13</v>
      </c>
      <c r="B8" s="10">
        <v>72</v>
      </c>
      <c r="C8" s="10">
        <v>76587650</v>
      </c>
      <c r="D8" s="10">
        <v>13</v>
      </c>
    </row>
    <row r="9" spans="1:4" x14ac:dyDescent="0.25">
      <c r="A9" s="9" t="s">
        <v>14</v>
      </c>
      <c r="B9" s="9">
        <v>91</v>
      </c>
      <c r="C9" s="9">
        <v>89467004</v>
      </c>
      <c r="D9" s="9">
        <v>29</v>
      </c>
    </row>
    <row r="10" spans="1:4" x14ac:dyDescent="0.25">
      <c r="A10" s="10" t="s">
        <v>15</v>
      </c>
    </row>
    <row r="11" spans="1:4" x14ac:dyDescent="0.25">
      <c r="A11" s="9" t="s">
        <v>6</v>
      </c>
      <c r="B11" s="9">
        <v>500</v>
      </c>
      <c r="C11" s="9">
        <v>509868608</v>
      </c>
      <c r="D11" s="9">
        <v>148</v>
      </c>
    </row>
  </sheetData>
  <autoFilter ref="A1:D11" xr:uid="{00000000-0009-0000-0000-000001000000}"/>
  <pageMargins left="0.3" right="0.3" top="0.5" bottom="0.5" header="0.3" footer="0.3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C8"/>
  <sheetViews>
    <sheetView showGridLines="0" zoomScale="9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6" style="2" bestFit="1" customWidth="1"/>
    <col min="2" max="2" width="19" style="2" bestFit="1" customWidth="1"/>
    <col min="3" max="3" width="22" style="2" bestFit="1" customWidth="1"/>
  </cols>
  <sheetData>
    <row r="1" spans="1:3" ht="26.1" customHeight="1" x14ac:dyDescent="0.25">
      <c r="A1" s="7"/>
      <c r="B1" s="7"/>
      <c r="C1" s="7"/>
    </row>
    <row r="3" spans="1:3" x14ac:dyDescent="0.25">
      <c r="A3" s="8" t="s">
        <v>0</v>
      </c>
      <c r="B3" s="9" t="s">
        <v>1</v>
      </c>
      <c r="C3" s="9" t="s">
        <v>8</v>
      </c>
    </row>
    <row r="4" spans="1:3" x14ac:dyDescent="0.25">
      <c r="A4" s="10" t="s">
        <v>9</v>
      </c>
      <c r="B4" s="10">
        <v>158</v>
      </c>
      <c r="C4" s="10">
        <v>53</v>
      </c>
    </row>
    <row r="5" spans="1:3" x14ac:dyDescent="0.25">
      <c r="A5" s="9" t="s">
        <v>16</v>
      </c>
      <c r="B5" s="9">
        <v>173</v>
      </c>
      <c r="C5" s="9">
        <v>42</v>
      </c>
    </row>
    <row r="6" spans="1:3" x14ac:dyDescent="0.25">
      <c r="A6" s="10" t="s">
        <v>17</v>
      </c>
      <c r="B6" s="10">
        <v>169</v>
      </c>
      <c r="C6" s="10">
        <v>53</v>
      </c>
    </row>
    <row r="7" spans="1:3" x14ac:dyDescent="0.25">
      <c r="A7" s="9" t="s">
        <v>15</v>
      </c>
    </row>
    <row r="8" spans="1:3" x14ac:dyDescent="0.25">
      <c r="A8" s="10" t="s">
        <v>6</v>
      </c>
      <c r="B8" s="10">
        <v>500</v>
      </c>
      <c r="C8" s="10">
        <v>148</v>
      </c>
    </row>
  </sheetData>
  <autoFilter ref="A1:C8" xr:uid="{00000000-0009-0000-0000-000002000000}"/>
  <pageMargins left="0.3" right="0.3" top="0.5" bottom="0.5" header="0.3" footer="0.3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  <pageSetUpPr fitToPage="1"/>
  </sheetPr>
  <dimension ref="A1:D10"/>
  <sheetViews>
    <sheetView showGridLines="0" topLeftCell="A10" zoomScale="90" workbookViewId="0">
      <pane ySplit="1" topLeftCell="A2" activePane="bottomLeft" state="frozen"/>
      <selection pane="bottomLeft" activeCell="D16" sqref="D16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1" style="2" bestFit="1" customWidth="1"/>
    <col min="4" max="4" width="22" style="2" bestFit="1" customWidth="1"/>
  </cols>
  <sheetData>
    <row r="1" spans="1:4" ht="26.1" customHeight="1" x14ac:dyDescent="0.25">
      <c r="A1" s="7"/>
      <c r="B1" s="7"/>
      <c r="C1" s="7"/>
      <c r="D1" s="7"/>
    </row>
    <row r="3" spans="1:4" x14ac:dyDescent="0.25">
      <c r="A3" s="8" t="s">
        <v>0</v>
      </c>
      <c r="B3" s="9" t="s">
        <v>1</v>
      </c>
      <c r="C3" s="9" t="s">
        <v>7</v>
      </c>
      <c r="D3" s="9" t="s">
        <v>8</v>
      </c>
    </row>
    <row r="4" spans="1:4" x14ac:dyDescent="0.25">
      <c r="A4" s="10" t="s">
        <v>18</v>
      </c>
      <c r="B4" s="10">
        <v>101</v>
      </c>
      <c r="C4" s="10">
        <v>101045606</v>
      </c>
      <c r="D4" s="10">
        <v>31</v>
      </c>
    </row>
    <row r="5" spans="1:4" x14ac:dyDescent="0.25">
      <c r="A5" s="9" t="s">
        <v>19</v>
      </c>
      <c r="B5" s="9">
        <v>105</v>
      </c>
      <c r="C5" s="9">
        <v>100109383</v>
      </c>
      <c r="D5" s="9">
        <v>36</v>
      </c>
    </row>
    <row r="6" spans="1:4" x14ac:dyDescent="0.25">
      <c r="A6" s="10" t="s">
        <v>20</v>
      </c>
      <c r="B6" s="10">
        <v>112</v>
      </c>
      <c r="C6" s="10">
        <v>124757941</v>
      </c>
      <c r="D6" s="10">
        <v>31</v>
      </c>
    </row>
    <row r="7" spans="1:4" x14ac:dyDescent="0.25">
      <c r="A7" s="9" t="s">
        <v>21</v>
      </c>
      <c r="B7" s="9">
        <v>96</v>
      </c>
      <c r="C7" s="9">
        <v>104842843</v>
      </c>
      <c r="D7" s="9">
        <v>20</v>
      </c>
    </row>
    <row r="8" spans="1:4" x14ac:dyDescent="0.25">
      <c r="A8" s="10" t="s">
        <v>22</v>
      </c>
      <c r="B8" s="10">
        <v>86</v>
      </c>
      <c r="C8" s="10">
        <v>79112835</v>
      </c>
      <c r="D8" s="10">
        <v>30</v>
      </c>
    </row>
    <row r="9" spans="1:4" x14ac:dyDescent="0.25">
      <c r="A9" s="9" t="s">
        <v>15</v>
      </c>
    </row>
    <row r="10" spans="1:4" x14ac:dyDescent="0.25">
      <c r="A10" s="10" t="s">
        <v>6</v>
      </c>
      <c r="B10" s="10">
        <v>500</v>
      </c>
      <c r="C10" s="10">
        <v>509868608</v>
      </c>
      <c r="D10" s="10">
        <v>148</v>
      </c>
    </row>
  </sheetData>
  <autoFilter ref="A1:D10" xr:uid="{00000000-0009-0000-0000-000003000000}"/>
  <pageMargins left="0.3" right="0.3" top="0.5" bottom="0.5" header="0.3" footer="0.3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  <pageSetUpPr fitToPage="1"/>
  </sheetPr>
  <dimension ref="A1:C9"/>
  <sheetViews>
    <sheetView showGridLines="0" zoomScale="90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2" style="2" bestFit="1" customWidth="1"/>
  </cols>
  <sheetData>
    <row r="1" spans="1:3" ht="26.1" customHeight="1" x14ac:dyDescent="0.25">
      <c r="A1" s="7"/>
      <c r="B1" s="7"/>
      <c r="C1" s="7"/>
    </row>
    <row r="3" spans="1:3" x14ac:dyDescent="0.25">
      <c r="A3" s="8" t="s">
        <v>0</v>
      </c>
      <c r="B3" s="9" t="s">
        <v>1</v>
      </c>
      <c r="C3" s="9" t="s">
        <v>8</v>
      </c>
    </row>
    <row r="4" spans="1:3" x14ac:dyDescent="0.25">
      <c r="A4" s="10" t="s">
        <v>23</v>
      </c>
      <c r="B4" s="10">
        <v>99</v>
      </c>
      <c r="C4" s="10">
        <v>17</v>
      </c>
    </row>
    <row r="5" spans="1:3" x14ac:dyDescent="0.25">
      <c r="A5" s="9" t="s">
        <v>24</v>
      </c>
      <c r="B5" s="9">
        <v>82</v>
      </c>
      <c r="C5" s="9">
        <v>15</v>
      </c>
    </row>
    <row r="6" spans="1:3" x14ac:dyDescent="0.25">
      <c r="A6" s="10" t="s">
        <v>25</v>
      </c>
      <c r="B6" s="10">
        <v>58</v>
      </c>
      <c r="C6" s="10">
        <v>8</v>
      </c>
    </row>
    <row r="7" spans="1:3" x14ac:dyDescent="0.25">
      <c r="A7" s="9" t="s">
        <v>26</v>
      </c>
      <c r="B7" s="9">
        <v>261</v>
      </c>
      <c r="C7" s="9">
        <v>108</v>
      </c>
    </row>
    <row r="8" spans="1:3" x14ac:dyDescent="0.25">
      <c r="A8" s="10" t="s">
        <v>15</v>
      </c>
    </row>
    <row r="9" spans="1:3" x14ac:dyDescent="0.25">
      <c r="A9" s="9" t="s">
        <v>6</v>
      </c>
      <c r="B9" s="9">
        <v>500</v>
      </c>
      <c r="C9" s="9">
        <v>148</v>
      </c>
    </row>
  </sheetData>
  <autoFilter ref="A1:C9" xr:uid="{00000000-0009-0000-0000-000004000000}"/>
  <pageMargins left="0.3" right="0.3" top="0.5" bottom="0.5" header="0.3" footer="0.3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  <pageSetUpPr fitToPage="1"/>
  </sheetPr>
  <dimension ref="A1:C8"/>
  <sheetViews>
    <sheetView showGridLines="0" zoomScale="90" workbookViewId="0">
      <pane ySplit="1" topLeftCell="A2" activePane="bottomLeft" state="frozen"/>
      <selection pane="bottomLeft" activeCell="F18" sqref="F18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2" style="2" bestFit="1" customWidth="1"/>
  </cols>
  <sheetData>
    <row r="1" spans="1:3" ht="26.1" customHeight="1" x14ac:dyDescent="0.25">
      <c r="A1" s="7"/>
      <c r="B1" s="7"/>
      <c r="C1" s="7"/>
    </row>
    <row r="3" spans="1:3" x14ac:dyDescent="0.25">
      <c r="A3" s="8" t="s">
        <v>0</v>
      </c>
      <c r="B3" s="9" t="s">
        <v>1</v>
      </c>
      <c r="C3" s="9" t="s">
        <v>8</v>
      </c>
    </row>
    <row r="4" spans="1:3" x14ac:dyDescent="0.25">
      <c r="A4" s="10" t="s">
        <v>27</v>
      </c>
      <c r="B4" s="10">
        <v>212</v>
      </c>
      <c r="C4" s="10">
        <v>87</v>
      </c>
    </row>
    <row r="5" spans="1:3" x14ac:dyDescent="0.25">
      <c r="A5" s="9" t="s">
        <v>28</v>
      </c>
      <c r="B5" s="9">
        <v>99</v>
      </c>
      <c r="C5" s="9">
        <v>27</v>
      </c>
    </row>
    <row r="6" spans="1:3" x14ac:dyDescent="0.25">
      <c r="A6" s="10" t="s">
        <v>29</v>
      </c>
      <c r="B6" s="10">
        <v>189</v>
      </c>
      <c r="C6" s="10">
        <v>34</v>
      </c>
    </row>
    <row r="7" spans="1:3" x14ac:dyDescent="0.25">
      <c r="A7" s="9" t="s">
        <v>15</v>
      </c>
    </row>
    <row r="8" spans="1:3" x14ac:dyDescent="0.25">
      <c r="A8" s="10" t="s">
        <v>6</v>
      </c>
      <c r="B8" s="10">
        <v>500</v>
      </c>
      <c r="C8" s="10">
        <v>148</v>
      </c>
    </row>
  </sheetData>
  <autoFilter ref="A1:C8" xr:uid="{00000000-0009-0000-0000-000005000000}"/>
  <pageMargins left="0.3" right="0.3" top="0.5" bottom="0.5" header="0.3" footer="0.3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  <pageSetUpPr fitToPage="1"/>
  </sheetPr>
  <dimension ref="A1:C8"/>
  <sheetViews>
    <sheetView showGridLines="0" zoomScale="90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1" style="2" bestFit="1" customWidth="1"/>
  </cols>
  <sheetData>
    <row r="1" spans="1:3" ht="26.1" customHeight="1" x14ac:dyDescent="0.25">
      <c r="A1" s="7"/>
      <c r="B1" s="7"/>
      <c r="C1" s="7"/>
    </row>
    <row r="3" spans="1:3" x14ac:dyDescent="0.25">
      <c r="A3" s="8" t="s">
        <v>0</v>
      </c>
      <c r="B3" s="9" t="s">
        <v>1</v>
      </c>
      <c r="C3" s="9" t="s">
        <v>7</v>
      </c>
    </row>
    <row r="4" spans="1:3" x14ac:dyDescent="0.25">
      <c r="A4" s="10" t="s">
        <v>30</v>
      </c>
    </row>
    <row r="5" spans="1:3" x14ac:dyDescent="0.25">
      <c r="A5" s="9" t="s">
        <v>31</v>
      </c>
      <c r="B5" s="9">
        <v>168</v>
      </c>
      <c r="C5" s="9">
        <v>156558658</v>
      </c>
    </row>
    <row r="6" spans="1:3" x14ac:dyDescent="0.25">
      <c r="A6" s="10" t="s">
        <v>32</v>
      </c>
      <c r="B6" s="10">
        <v>181</v>
      </c>
      <c r="C6" s="10">
        <v>186219333</v>
      </c>
    </row>
    <row r="7" spans="1:3" x14ac:dyDescent="0.25">
      <c r="A7" s="9" t="s">
        <v>33</v>
      </c>
      <c r="B7" s="9">
        <v>151</v>
      </c>
      <c r="C7" s="9">
        <v>167090617</v>
      </c>
    </row>
    <row r="8" spans="1:3" x14ac:dyDescent="0.25">
      <c r="A8" s="10" t="s">
        <v>6</v>
      </c>
      <c r="B8" s="10">
        <v>500</v>
      </c>
      <c r="C8" s="10">
        <v>509868608</v>
      </c>
    </row>
  </sheetData>
  <autoFilter ref="A1:C8" xr:uid="{00000000-0009-0000-0000-000006000000}"/>
  <pageMargins left="0.3" right="0.3" top="0.5" bottom="0.5" header="0.3" footer="0.3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  <pageSetUpPr fitToPage="1"/>
  </sheetPr>
  <dimension ref="A1:C9"/>
  <sheetViews>
    <sheetView showGridLines="0" zoomScale="90" workbookViewId="0">
      <pane ySplit="1" topLeftCell="A2" activePane="bottomLeft" state="frozen"/>
      <selection pane="bottomLeft" activeCell="H17" sqref="H17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1" style="2" bestFit="1" customWidth="1"/>
  </cols>
  <sheetData>
    <row r="1" spans="1:3" ht="26.1" customHeight="1" x14ac:dyDescent="0.25">
      <c r="A1" s="7"/>
      <c r="B1" s="7"/>
      <c r="C1" s="7"/>
    </row>
    <row r="3" spans="1:3" x14ac:dyDescent="0.25">
      <c r="A3" s="8" t="s">
        <v>0</v>
      </c>
      <c r="B3" s="9" t="s">
        <v>1</v>
      </c>
      <c r="C3" s="9" t="s">
        <v>7</v>
      </c>
    </row>
    <row r="4" spans="1:3" x14ac:dyDescent="0.25">
      <c r="A4" s="10" t="s">
        <v>2</v>
      </c>
      <c r="B4" s="10">
        <v>128</v>
      </c>
      <c r="C4" s="10">
        <v>134495830</v>
      </c>
    </row>
    <row r="5" spans="1:3" x14ac:dyDescent="0.25">
      <c r="A5" s="9" t="s">
        <v>3</v>
      </c>
      <c r="B5" s="9">
        <v>142</v>
      </c>
      <c r="C5" s="9">
        <v>142413163</v>
      </c>
    </row>
    <row r="6" spans="1:3" x14ac:dyDescent="0.25">
      <c r="A6" s="10" t="s">
        <v>4</v>
      </c>
      <c r="B6" s="10">
        <v>120</v>
      </c>
      <c r="C6" s="10">
        <v>127649351</v>
      </c>
    </row>
    <row r="7" spans="1:3" x14ac:dyDescent="0.25">
      <c r="A7" s="9" t="s">
        <v>5</v>
      </c>
      <c r="B7" s="9">
        <v>110</v>
      </c>
      <c r="C7" s="9">
        <v>105310264</v>
      </c>
    </row>
    <row r="8" spans="1:3" x14ac:dyDescent="0.25">
      <c r="A8" s="10" t="s">
        <v>15</v>
      </c>
    </row>
    <row r="9" spans="1:3" x14ac:dyDescent="0.25">
      <c r="A9" s="9" t="s">
        <v>6</v>
      </c>
      <c r="B9" s="9">
        <v>500</v>
      </c>
      <c r="C9" s="9">
        <v>509868608</v>
      </c>
    </row>
  </sheetData>
  <autoFilter ref="A1:C9" xr:uid="{00000000-0009-0000-0000-000007000000}"/>
  <pageMargins left="0.3" right="0.3" top="0.5" bottom="0.5" header="0.3" footer="0.3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75B5"/>
    <pageSetUpPr fitToPage="1"/>
  </sheetPr>
  <dimension ref="A1:C11"/>
  <sheetViews>
    <sheetView showGridLines="0" tabSelected="1" zoomScale="90"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4" style="2" bestFit="1" customWidth="1"/>
    <col min="2" max="2" width="19" style="2" bestFit="1" customWidth="1"/>
    <col min="3" max="3" width="21" style="2" bestFit="1" customWidth="1"/>
  </cols>
  <sheetData>
    <row r="1" spans="1:3" ht="26.1" customHeight="1" x14ac:dyDescent="0.25">
      <c r="A1" s="7"/>
      <c r="B1" s="7"/>
      <c r="C1" s="7"/>
    </row>
    <row r="3" spans="1:3" x14ac:dyDescent="0.25">
      <c r="A3" s="8" t="s">
        <v>0</v>
      </c>
      <c r="B3" s="9" t="s">
        <v>1</v>
      </c>
      <c r="C3" s="9" t="s">
        <v>7</v>
      </c>
    </row>
    <row r="4" spans="1:3" x14ac:dyDescent="0.25">
      <c r="A4" s="10" t="s">
        <v>9</v>
      </c>
      <c r="B4" s="10">
        <v>86</v>
      </c>
      <c r="C4" s="10">
        <v>98161861</v>
      </c>
    </row>
    <row r="5" spans="1:3" x14ac:dyDescent="0.25">
      <c r="A5" s="9" t="s">
        <v>10</v>
      </c>
      <c r="B5" s="9">
        <v>80</v>
      </c>
      <c r="C5" s="9">
        <v>74740654</v>
      </c>
    </row>
    <row r="6" spans="1:3" x14ac:dyDescent="0.25">
      <c r="A6" s="10" t="s">
        <v>11</v>
      </c>
      <c r="B6" s="10">
        <v>83</v>
      </c>
      <c r="C6" s="10">
        <v>81494659</v>
      </c>
    </row>
    <row r="7" spans="1:3" x14ac:dyDescent="0.25">
      <c r="A7" s="9" t="s">
        <v>12</v>
      </c>
      <c r="B7" s="9">
        <v>88</v>
      </c>
      <c r="C7" s="9">
        <v>89416780</v>
      </c>
    </row>
    <row r="8" spans="1:3" x14ac:dyDescent="0.25">
      <c r="A8" s="10" t="s">
        <v>13</v>
      </c>
      <c r="B8" s="10">
        <v>72</v>
      </c>
      <c r="C8" s="10">
        <v>76587650</v>
      </c>
    </row>
    <row r="9" spans="1:3" x14ac:dyDescent="0.25">
      <c r="A9" s="9" t="s">
        <v>14</v>
      </c>
      <c r="B9" s="9">
        <v>91</v>
      </c>
      <c r="C9" s="9">
        <v>89467004</v>
      </c>
    </row>
    <row r="10" spans="1:3" x14ac:dyDescent="0.25">
      <c r="A10" s="10" t="s">
        <v>15</v>
      </c>
    </row>
    <row r="11" spans="1:3" x14ac:dyDescent="0.25">
      <c r="A11" s="9" t="s">
        <v>6</v>
      </c>
      <c r="B11" s="9">
        <v>500</v>
      </c>
      <c r="C11" s="9">
        <v>509868608</v>
      </c>
    </row>
  </sheetData>
  <autoFilter ref="A1:C11" xr:uid="{00000000-0009-0000-0000-000008000000}"/>
  <pageMargins left="0.3" right="0.3" top="0.5" bottom="0.5" header="0.3" footer="0.3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  <pageSetUpPr fitToPage="1"/>
  </sheetPr>
  <dimension ref="A1:P501"/>
  <sheetViews>
    <sheetView showGridLines="0" zoomScale="90" workbookViewId="0">
      <pane ySplit="1" topLeftCell="A2" activePane="bottomLeft" state="frozen"/>
      <selection pane="bottomLeft" activeCell="O2" sqref="A1:XFD1048576"/>
    </sheetView>
  </sheetViews>
  <sheetFormatPr defaultRowHeight="15" x14ac:dyDescent="0.25"/>
  <cols>
    <col min="1" max="1" width="12" style="2" customWidth="1"/>
    <col min="2" max="2" width="15" style="2" bestFit="1" customWidth="1"/>
    <col min="3" max="3" width="13" style="2" bestFit="1" customWidth="1"/>
    <col min="4" max="4" width="17" style="2" bestFit="1" customWidth="1"/>
    <col min="5" max="5" width="16" style="2" bestFit="1" customWidth="1"/>
    <col min="6" max="6" width="13" style="2" bestFit="1" customWidth="1"/>
    <col min="7" max="7" width="16" style="2" bestFit="1" customWidth="1"/>
    <col min="8" max="8" width="13" style="2" bestFit="1" customWidth="1"/>
    <col min="9" max="9" width="18" style="2" bestFit="1" customWidth="1"/>
    <col min="10" max="10" width="14" style="2" bestFit="1" customWidth="1"/>
    <col min="11" max="11" width="16" style="2" bestFit="1" customWidth="1"/>
    <col min="12" max="12" width="12" style="2" customWidth="1"/>
    <col min="13" max="13" width="14" style="2" bestFit="1" customWidth="1"/>
    <col min="14" max="14" width="13" style="2" bestFit="1" customWidth="1"/>
    <col min="15" max="15" width="18" style="2" bestFit="1" customWidth="1"/>
    <col min="16" max="16" width="13" style="2" customWidth="1"/>
  </cols>
  <sheetData>
    <row r="1" spans="1:16" ht="27.95" customHeight="1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 t="s">
        <v>48</v>
      </c>
      <c r="P1" s="7" t="s">
        <v>49</v>
      </c>
    </row>
    <row r="2" spans="1:16" x14ac:dyDescent="0.25">
      <c r="A2" s="10" t="s">
        <v>50</v>
      </c>
      <c r="B2" s="11">
        <v>45247</v>
      </c>
      <c r="C2" s="10">
        <v>65</v>
      </c>
      <c r="D2" s="10" t="s">
        <v>16</v>
      </c>
      <c r="E2" s="12">
        <v>1459358</v>
      </c>
      <c r="F2" s="10">
        <v>434</v>
      </c>
      <c r="G2" s="12">
        <v>1730164</v>
      </c>
      <c r="H2" s="13">
        <v>9</v>
      </c>
      <c r="I2" s="10">
        <v>24</v>
      </c>
      <c r="J2" s="10" t="s">
        <v>10</v>
      </c>
      <c r="K2" s="14">
        <v>0.22</v>
      </c>
      <c r="L2" s="10" t="s">
        <v>20</v>
      </c>
      <c r="M2" s="10" t="s">
        <v>3</v>
      </c>
      <c r="N2" s="10">
        <v>0</v>
      </c>
      <c r="O2" s="10" t="str">
        <f t="shared" ref="O2:O65" si="0">IF(F2&lt;580,"Poor",IF(F2&lt;670,"Fair",IF(F2&lt;740,"Good","Excellent")))</f>
        <v>Poor</v>
      </c>
      <c r="P2" s="10" t="str">
        <f t="shared" ref="P2:P65" si="1">IF(K2&lt;0.2,"Low",IF(K2&lt;0.4,"Medium","High"))</f>
        <v>Medium</v>
      </c>
    </row>
    <row r="3" spans="1:16" x14ac:dyDescent="0.25">
      <c r="A3" s="9" t="s">
        <v>51</v>
      </c>
      <c r="B3" s="15">
        <v>45868</v>
      </c>
      <c r="C3" s="9">
        <v>27</v>
      </c>
      <c r="D3" s="9" t="s">
        <v>16</v>
      </c>
      <c r="E3" s="16">
        <v>1383991</v>
      </c>
      <c r="F3" s="9">
        <v>315</v>
      </c>
      <c r="G3" s="16">
        <v>1604874</v>
      </c>
      <c r="H3" s="17">
        <v>21</v>
      </c>
      <c r="I3" s="9">
        <v>60</v>
      </c>
      <c r="J3" s="9" t="s">
        <v>13</v>
      </c>
      <c r="K3" s="18">
        <v>0.39</v>
      </c>
      <c r="L3" s="9" t="s">
        <v>18</v>
      </c>
      <c r="M3" s="9" t="s">
        <v>4</v>
      </c>
      <c r="N3" s="9">
        <v>1</v>
      </c>
      <c r="O3" s="9" t="str">
        <f t="shared" si="0"/>
        <v>Poor</v>
      </c>
      <c r="P3" s="9" t="str">
        <f t="shared" si="1"/>
        <v>Medium</v>
      </c>
    </row>
    <row r="4" spans="1:16" x14ac:dyDescent="0.25">
      <c r="A4" s="10" t="s">
        <v>52</v>
      </c>
      <c r="B4" s="11">
        <v>45506</v>
      </c>
      <c r="C4" s="10">
        <v>64</v>
      </c>
      <c r="D4" s="10" t="s">
        <v>9</v>
      </c>
      <c r="E4" s="12">
        <v>979635</v>
      </c>
      <c r="F4" s="10">
        <v>786</v>
      </c>
      <c r="G4" s="12">
        <v>1096480</v>
      </c>
      <c r="H4" s="13">
        <v>7</v>
      </c>
      <c r="I4" s="10">
        <v>60</v>
      </c>
      <c r="J4" s="10" t="s">
        <v>11</v>
      </c>
      <c r="K4" s="14">
        <v>0.12</v>
      </c>
      <c r="L4" s="10" t="s">
        <v>22</v>
      </c>
      <c r="M4" s="10" t="s">
        <v>4</v>
      </c>
      <c r="N4" s="10">
        <v>0</v>
      </c>
      <c r="O4" s="10" t="str">
        <f t="shared" si="0"/>
        <v>Excellent</v>
      </c>
      <c r="P4" s="10" t="str">
        <f t="shared" si="1"/>
        <v>Low</v>
      </c>
    </row>
    <row r="5" spans="1:16" x14ac:dyDescent="0.25">
      <c r="A5" s="9" t="s">
        <v>53</v>
      </c>
      <c r="B5" s="15">
        <v>45280</v>
      </c>
      <c r="C5" s="9">
        <v>65</v>
      </c>
      <c r="D5" s="9" t="s">
        <v>16</v>
      </c>
      <c r="E5" s="16">
        <v>1482614</v>
      </c>
      <c r="F5" s="9">
        <v>580</v>
      </c>
      <c r="G5" s="16">
        <v>218134</v>
      </c>
      <c r="H5" s="17">
        <v>17</v>
      </c>
      <c r="I5" s="9">
        <v>12</v>
      </c>
      <c r="J5" s="9" t="s">
        <v>9</v>
      </c>
      <c r="K5" s="18">
        <v>0.36</v>
      </c>
      <c r="L5" s="9" t="s">
        <v>22</v>
      </c>
      <c r="M5" s="9" t="s">
        <v>5</v>
      </c>
      <c r="N5" s="9">
        <v>0</v>
      </c>
      <c r="O5" s="9" t="str">
        <f t="shared" si="0"/>
        <v>Fair</v>
      </c>
      <c r="P5" s="9" t="str">
        <f t="shared" si="1"/>
        <v>Medium</v>
      </c>
    </row>
    <row r="6" spans="1:16" x14ac:dyDescent="0.25">
      <c r="A6" s="10" t="s">
        <v>54</v>
      </c>
      <c r="B6" s="11">
        <v>45323</v>
      </c>
      <c r="C6" s="10">
        <v>65</v>
      </c>
      <c r="D6" s="10" t="s">
        <v>17</v>
      </c>
      <c r="E6" s="12">
        <v>2227831</v>
      </c>
      <c r="F6" s="10">
        <v>315</v>
      </c>
      <c r="G6" s="12">
        <v>1396820</v>
      </c>
      <c r="H6" s="13">
        <v>12</v>
      </c>
      <c r="I6" s="10">
        <v>24</v>
      </c>
      <c r="J6" s="10" t="s">
        <v>14</v>
      </c>
      <c r="K6" s="14">
        <v>0.48</v>
      </c>
      <c r="L6" s="10" t="s">
        <v>20</v>
      </c>
      <c r="M6" s="10" t="s">
        <v>4</v>
      </c>
      <c r="N6" s="10">
        <v>0</v>
      </c>
      <c r="O6" s="10" t="str">
        <f t="shared" si="0"/>
        <v>Poor</v>
      </c>
      <c r="P6" s="10" t="str">
        <f t="shared" si="1"/>
        <v>High</v>
      </c>
    </row>
    <row r="7" spans="1:16" x14ac:dyDescent="0.25">
      <c r="A7" s="9" t="s">
        <v>55</v>
      </c>
      <c r="B7" s="15">
        <v>45322</v>
      </c>
      <c r="C7" s="9">
        <v>57</v>
      </c>
      <c r="D7" s="9" t="s">
        <v>9</v>
      </c>
      <c r="E7" s="16">
        <v>1312014</v>
      </c>
      <c r="F7" s="9">
        <v>694</v>
      </c>
      <c r="G7" s="16">
        <v>736968</v>
      </c>
      <c r="H7" s="17">
        <v>23</v>
      </c>
      <c r="I7" s="9">
        <v>36</v>
      </c>
      <c r="J7" s="9" t="s">
        <v>13</v>
      </c>
      <c r="K7" s="18">
        <v>0.53</v>
      </c>
      <c r="L7" s="9" t="s">
        <v>19</v>
      </c>
      <c r="M7" s="9" t="s">
        <v>4</v>
      </c>
      <c r="N7" s="9">
        <v>0</v>
      </c>
      <c r="O7" s="9" t="str">
        <f t="shared" si="0"/>
        <v>Good</v>
      </c>
      <c r="P7" s="9" t="str">
        <f t="shared" si="1"/>
        <v>High</v>
      </c>
    </row>
    <row r="8" spans="1:16" x14ac:dyDescent="0.25">
      <c r="A8" s="10" t="s">
        <v>56</v>
      </c>
      <c r="B8" s="11">
        <v>45293</v>
      </c>
      <c r="C8" s="10">
        <v>50</v>
      </c>
      <c r="D8" s="10" t="s">
        <v>16</v>
      </c>
      <c r="E8" s="12">
        <v>1584239</v>
      </c>
      <c r="F8" s="10">
        <v>806</v>
      </c>
      <c r="G8" s="12">
        <v>1432594</v>
      </c>
      <c r="H8" s="13">
        <v>18</v>
      </c>
      <c r="I8" s="10">
        <v>36</v>
      </c>
      <c r="J8" s="10" t="s">
        <v>14</v>
      </c>
      <c r="K8" s="14">
        <v>0.56000000000000005</v>
      </c>
      <c r="L8" s="10" t="s">
        <v>20</v>
      </c>
      <c r="M8" s="10" t="s">
        <v>5</v>
      </c>
      <c r="N8" s="10">
        <v>0</v>
      </c>
      <c r="O8" s="10" t="str">
        <f t="shared" si="0"/>
        <v>Excellent</v>
      </c>
      <c r="P8" s="10" t="str">
        <f t="shared" si="1"/>
        <v>High</v>
      </c>
    </row>
    <row r="9" spans="1:16" x14ac:dyDescent="0.25">
      <c r="A9" s="9" t="s">
        <v>57</v>
      </c>
      <c r="B9" s="15">
        <v>45541</v>
      </c>
      <c r="C9" s="9">
        <v>37</v>
      </c>
      <c r="D9" s="9" t="s">
        <v>9</v>
      </c>
      <c r="E9" s="16">
        <v>799794</v>
      </c>
      <c r="F9" s="9">
        <v>824</v>
      </c>
      <c r="G9" s="16">
        <v>464708</v>
      </c>
      <c r="H9" s="17">
        <v>14</v>
      </c>
      <c r="I9" s="9">
        <v>24</v>
      </c>
      <c r="J9" s="9" t="s">
        <v>10</v>
      </c>
      <c r="K9" s="18">
        <v>0.28000000000000003</v>
      </c>
      <c r="L9" s="9" t="s">
        <v>20</v>
      </c>
      <c r="M9" s="9" t="s">
        <v>3</v>
      </c>
      <c r="N9" s="9">
        <v>0</v>
      </c>
      <c r="O9" s="9" t="str">
        <f t="shared" si="0"/>
        <v>Excellent</v>
      </c>
      <c r="P9" s="9" t="str">
        <f t="shared" si="1"/>
        <v>Medium</v>
      </c>
    </row>
    <row r="10" spans="1:16" x14ac:dyDescent="0.25">
      <c r="A10" s="10" t="s">
        <v>58</v>
      </c>
      <c r="B10" s="11">
        <v>45998</v>
      </c>
      <c r="C10" s="10">
        <v>39</v>
      </c>
      <c r="D10" s="10" t="s">
        <v>9</v>
      </c>
      <c r="E10" s="12">
        <v>2170628</v>
      </c>
      <c r="F10" s="10">
        <v>440</v>
      </c>
      <c r="G10" s="12">
        <v>1455451</v>
      </c>
      <c r="H10" s="13">
        <v>16</v>
      </c>
      <c r="I10" s="10">
        <v>12</v>
      </c>
      <c r="J10" s="10" t="s">
        <v>14</v>
      </c>
      <c r="K10" s="14">
        <v>0.57999999999999996</v>
      </c>
      <c r="L10" s="10" t="s">
        <v>19</v>
      </c>
      <c r="M10" s="10" t="s">
        <v>4</v>
      </c>
      <c r="N10" s="10">
        <v>1</v>
      </c>
      <c r="O10" s="10" t="str">
        <f t="shared" si="0"/>
        <v>Poor</v>
      </c>
      <c r="P10" s="10" t="str">
        <f t="shared" si="1"/>
        <v>High</v>
      </c>
    </row>
    <row r="11" spans="1:16" x14ac:dyDescent="0.25">
      <c r="A11" s="9" t="s">
        <v>59</v>
      </c>
      <c r="B11" s="15">
        <v>45585</v>
      </c>
      <c r="C11" s="9">
        <v>47</v>
      </c>
      <c r="D11" s="9" t="s">
        <v>9</v>
      </c>
      <c r="E11" s="16">
        <v>1992137</v>
      </c>
      <c r="F11" s="9">
        <v>763</v>
      </c>
      <c r="G11" s="16">
        <v>894268</v>
      </c>
      <c r="H11" s="17">
        <v>17</v>
      </c>
      <c r="I11" s="9">
        <v>36</v>
      </c>
      <c r="J11" s="9" t="s">
        <v>12</v>
      </c>
      <c r="K11" s="18">
        <v>0.37</v>
      </c>
      <c r="L11" s="9" t="s">
        <v>22</v>
      </c>
      <c r="M11" s="9" t="s">
        <v>5</v>
      </c>
      <c r="N11" s="9">
        <v>1</v>
      </c>
      <c r="O11" s="9" t="str">
        <f t="shared" si="0"/>
        <v>Excellent</v>
      </c>
      <c r="P11" s="9" t="str">
        <f t="shared" si="1"/>
        <v>Medium</v>
      </c>
    </row>
    <row r="12" spans="1:16" x14ac:dyDescent="0.25">
      <c r="A12" s="10" t="s">
        <v>60</v>
      </c>
      <c r="B12" s="11">
        <v>44943</v>
      </c>
      <c r="C12" s="10">
        <v>51</v>
      </c>
      <c r="D12" s="10" t="s">
        <v>16</v>
      </c>
      <c r="E12" s="12">
        <v>737473</v>
      </c>
      <c r="F12" s="10">
        <v>693</v>
      </c>
      <c r="G12" s="12">
        <v>330315</v>
      </c>
      <c r="H12" s="13">
        <v>16</v>
      </c>
      <c r="I12" s="10">
        <v>36</v>
      </c>
      <c r="J12" s="10" t="s">
        <v>13</v>
      </c>
      <c r="K12" s="14">
        <v>0.52</v>
      </c>
      <c r="L12" s="10" t="s">
        <v>18</v>
      </c>
      <c r="M12" s="10" t="s">
        <v>3</v>
      </c>
      <c r="N12" s="10">
        <v>0</v>
      </c>
      <c r="O12" s="10" t="str">
        <f t="shared" si="0"/>
        <v>Good</v>
      </c>
      <c r="P12" s="10" t="str">
        <f t="shared" si="1"/>
        <v>High</v>
      </c>
    </row>
    <row r="13" spans="1:16" x14ac:dyDescent="0.25">
      <c r="A13" s="9" t="s">
        <v>61</v>
      </c>
      <c r="B13" s="15">
        <v>45375</v>
      </c>
      <c r="C13" s="9">
        <v>35</v>
      </c>
      <c r="D13" s="9" t="s">
        <v>9</v>
      </c>
      <c r="E13" s="16">
        <v>1725813</v>
      </c>
      <c r="F13" s="9">
        <v>798</v>
      </c>
      <c r="G13" s="16">
        <v>1922714</v>
      </c>
      <c r="H13" s="17">
        <v>14</v>
      </c>
      <c r="I13" s="9">
        <v>24</v>
      </c>
      <c r="J13" s="9" t="s">
        <v>9</v>
      </c>
      <c r="K13" s="18">
        <v>0.54</v>
      </c>
      <c r="L13" s="9" t="s">
        <v>21</v>
      </c>
      <c r="M13" s="9" t="s">
        <v>3</v>
      </c>
      <c r="N13" s="9">
        <v>0</v>
      </c>
      <c r="O13" s="9" t="str">
        <f t="shared" si="0"/>
        <v>Excellent</v>
      </c>
      <c r="P13" s="9" t="str">
        <f t="shared" si="1"/>
        <v>High</v>
      </c>
    </row>
    <row r="14" spans="1:16" x14ac:dyDescent="0.25">
      <c r="A14" s="10" t="s">
        <v>62</v>
      </c>
      <c r="B14" s="11">
        <v>45980</v>
      </c>
      <c r="C14" s="10">
        <v>46</v>
      </c>
      <c r="D14" s="10" t="s">
        <v>17</v>
      </c>
      <c r="E14" s="12">
        <v>1258993</v>
      </c>
      <c r="F14" s="10">
        <v>372</v>
      </c>
      <c r="G14" s="12">
        <v>975336</v>
      </c>
      <c r="H14" s="13">
        <v>22</v>
      </c>
      <c r="I14" s="10">
        <v>60</v>
      </c>
      <c r="J14" s="10" t="s">
        <v>9</v>
      </c>
      <c r="K14" s="14">
        <v>0.14000000000000001</v>
      </c>
      <c r="L14" s="10" t="s">
        <v>19</v>
      </c>
      <c r="M14" s="10" t="s">
        <v>2</v>
      </c>
      <c r="N14" s="10">
        <v>0</v>
      </c>
      <c r="O14" s="10" t="str">
        <f t="shared" si="0"/>
        <v>Poor</v>
      </c>
      <c r="P14" s="10" t="str">
        <f t="shared" si="1"/>
        <v>Low</v>
      </c>
    </row>
    <row r="15" spans="1:16" x14ac:dyDescent="0.25">
      <c r="A15" s="9" t="s">
        <v>63</v>
      </c>
      <c r="B15" s="15">
        <v>45675</v>
      </c>
      <c r="C15" s="9">
        <v>33</v>
      </c>
      <c r="D15" s="9" t="s">
        <v>9</v>
      </c>
      <c r="E15" s="16">
        <v>1472140</v>
      </c>
      <c r="F15" s="9">
        <v>411</v>
      </c>
      <c r="G15" s="16">
        <v>525635</v>
      </c>
      <c r="H15" s="17">
        <v>23</v>
      </c>
      <c r="I15" s="9">
        <v>24</v>
      </c>
      <c r="J15" s="9" t="s">
        <v>14</v>
      </c>
      <c r="K15" s="18">
        <v>0.14000000000000001</v>
      </c>
      <c r="L15" s="9" t="s">
        <v>19</v>
      </c>
      <c r="M15" s="9" t="s">
        <v>4</v>
      </c>
      <c r="N15" s="9">
        <v>0</v>
      </c>
      <c r="O15" s="9" t="str">
        <f t="shared" si="0"/>
        <v>Poor</v>
      </c>
      <c r="P15" s="9" t="str">
        <f t="shared" si="1"/>
        <v>Low</v>
      </c>
    </row>
    <row r="16" spans="1:16" x14ac:dyDescent="0.25">
      <c r="A16" s="10" t="s">
        <v>64</v>
      </c>
      <c r="B16" s="11">
        <v>45608</v>
      </c>
      <c r="C16" s="10">
        <v>33</v>
      </c>
      <c r="D16" s="10" t="s">
        <v>9</v>
      </c>
      <c r="E16" s="12">
        <v>1248515</v>
      </c>
      <c r="F16" s="10">
        <v>533</v>
      </c>
      <c r="G16" s="12">
        <v>1277968</v>
      </c>
      <c r="H16" s="13">
        <v>23</v>
      </c>
      <c r="I16" s="10">
        <v>36</v>
      </c>
      <c r="J16" s="10" t="s">
        <v>13</v>
      </c>
      <c r="K16" s="14">
        <v>0.2</v>
      </c>
      <c r="L16" s="10" t="s">
        <v>18</v>
      </c>
      <c r="M16" s="10" t="s">
        <v>4</v>
      </c>
      <c r="N16" s="10">
        <v>0</v>
      </c>
      <c r="O16" s="10" t="str">
        <f t="shared" si="0"/>
        <v>Poor</v>
      </c>
      <c r="P16" s="10" t="str">
        <f t="shared" si="1"/>
        <v>Medium</v>
      </c>
    </row>
    <row r="17" spans="1:16" x14ac:dyDescent="0.25">
      <c r="A17" s="9" t="s">
        <v>65</v>
      </c>
      <c r="B17" s="15">
        <v>45265</v>
      </c>
      <c r="C17" s="9">
        <v>31</v>
      </c>
      <c r="D17" s="9" t="s">
        <v>17</v>
      </c>
      <c r="E17" s="16">
        <v>1873457</v>
      </c>
      <c r="F17" s="9">
        <v>471</v>
      </c>
      <c r="G17" s="16">
        <v>340416</v>
      </c>
      <c r="H17" s="17">
        <v>12</v>
      </c>
      <c r="I17" s="9">
        <v>36</v>
      </c>
      <c r="J17" s="9" t="s">
        <v>10</v>
      </c>
      <c r="K17" s="18">
        <v>0.13</v>
      </c>
      <c r="L17" s="9" t="s">
        <v>22</v>
      </c>
      <c r="M17" s="9" t="s">
        <v>5</v>
      </c>
      <c r="N17" s="9">
        <v>0</v>
      </c>
      <c r="O17" s="9" t="str">
        <f t="shared" si="0"/>
        <v>Poor</v>
      </c>
      <c r="P17" s="9" t="str">
        <f t="shared" si="1"/>
        <v>Low</v>
      </c>
    </row>
    <row r="18" spans="1:16" x14ac:dyDescent="0.25">
      <c r="A18" s="10" t="s">
        <v>66</v>
      </c>
      <c r="B18" s="11">
        <v>45980</v>
      </c>
      <c r="C18" s="10">
        <v>56</v>
      </c>
      <c r="D18" s="10" t="s">
        <v>16</v>
      </c>
      <c r="E18" s="12">
        <v>456283</v>
      </c>
      <c r="F18" s="10">
        <v>761</v>
      </c>
      <c r="G18" s="12">
        <v>1450418</v>
      </c>
      <c r="H18" s="13">
        <v>17</v>
      </c>
      <c r="I18" s="10">
        <v>60</v>
      </c>
      <c r="J18" s="10" t="s">
        <v>11</v>
      </c>
      <c r="K18" s="14">
        <v>0.25</v>
      </c>
      <c r="L18" s="10" t="s">
        <v>22</v>
      </c>
      <c r="M18" s="10" t="s">
        <v>5</v>
      </c>
      <c r="N18" s="10">
        <v>0</v>
      </c>
      <c r="O18" s="10" t="str">
        <f t="shared" si="0"/>
        <v>Excellent</v>
      </c>
      <c r="P18" s="10" t="str">
        <f t="shared" si="1"/>
        <v>Medium</v>
      </c>
    </row>
    <row r="19" spans="1:16" x14ac:dyDescent="0.25">
      <c r="A19" s="9" t="s">
        <v>67</v>
      </c>
      <c r="B19" s="15">
        <v>45182</v>
      </c>
      <c r="C19" s="9">
        <v>39</v>
      </c>
      <c r="D19" s="9" t="s">
        <v>17</v>
      </c>
      <c r="E19" s="16">
        <v>477960</v>
      </c>
      <c r="F19" s="9">
        <v>353</v>
      </c>
      <c r="G19" s="16">
        <v>1996582</v>
      </c>
      <c r="H19" s="17">
        <v>10</v>
      </c>
      <c r="I19" s="9">
        <v>36</v>
      </c>
      <c r="J19" s="9" t="s">
        <v>9</v>
      </c>
      <c r="K19" s="18">
        <v>0.12</v>
      </c>
      <c r="L19" s="9" t="s">
        <v>20</v>
      </c>
      <c r="M19" s="9" t="s">
        <v>2</v>
      </c>
      <c r="N19" s="9">
        <v>1</v>
      </c>
      <c r="O19" s="9" t="str">
        <f t="shared" si="0"/>
        <v>Poor</v>
      </c>
      <c r="P19" s="9" t="str">
        <f t="shared" si="1"/>
        <v>Low</v>
      </c>
    </row>
    <row r="20" spans="1:16" x14ac:dyDescent="0.25">
      <c r="A20" s="10" t="s">
        <v>68</v>
      </c>
      <c r="B20" s="11">
        <v>44951</v>
      </c>
      <c r="C20" s="10">
        <v>27</v>
      </c>
      <c r="D20" s="10" t="s">
        <v>16</v>
      </c>
      <c r="E20" s="12">
        <v>1484839</v>
      </c>
      <c r="F20" s="10">
        <v>792</v>
      </c>
      <c r="G20" s="12">
        <v>1369952</v>
      </c>
      <c r="H20" s="13">
        <v>18</v>
      </c>
      <c r="I20" s="10">
        <v>36</v>
      </c>
      <c r="J20" s="10" t="s">
        <v>11</v>
      </c>
      <c r="K20" s="14">
        <v>0.47</v>
      </c>
      <c r="L20" s="10" t="s">
        <v>20</v>
      </c>
      <c r="M20" s="10" t="s">
        <v>4</v>
      </c>
      <c r="N20" s="10">
        <v>0</v>
      </c>
      <c r="O20" s="10" t="str">
        <f t="shared" si="0"/>
        <v>Excellent</v>
      </c>
      <c r="P20" s="10" t="str">
        <f t="shared" si="1"/>
        <v>High</v>
      </c>
    </row>
    <row r="21" spans="1:16" x14ac:dyDescent="0.25">
      <c r="A21" s="9" t="s">
        <v>69</v>
      </c>
      <c r="B21" s="15">
        <v>45750</v>
      </c>
      <c r="C21" s="9">
        <v>56</v>
      </c>
      <c r="D21" s="9" t="s">
        <v>16</v>
      </c>
      <c r="E21" s="16">
        <v>1878455</v>
      </c>
      <c r="F21" s="9">
        <v>553</v>
      </c>
      <c r="G21" s="16">
        <v>664554</v>
      </c>
      <c r="H21" s="17">
        <v>10</v>
      </c>
      <c r="I21" s="9">
        <v>36</v>
      </c>
      <c r="J21" s="9" t="s">
        <v>12</v>
      </c>
      <c r="K21" s="18">
        <v>0.52</v>
      </c>
      <c r="L21" s="9" t="s">
        <v>19</v>
      </c>
      <c r="M21" s="9" t="s">
        <v>4</v>
      </c>
      <c r="N21" s="9">
        <v>1</v>
      </c>
      <c r="O21" s="9" t="str">
        <f t="shared" si="0"/>
        <v>Poor</v>
      </c>
      <c r="P21" s="9" t="str">
        <f t="shared" si="1"/>
        <v>High</v>
      </c>
    </row>
    <row r="22" spans="1:16" x14ac:dyDescent="0.25">
      <c r="A22" s="10" t="s">
        <v>70</v>
      </c>
      <c r="B22" s="11">
        <v>45526</v>
      </c>
      <c r="C22" s="10">
        <v>49</v>
      </c>
      <c r="D22" s="10" t="s">
        <v>16</v>
      </c>
      <c r="E22" s="12">
        <v>1491070</v>
      </c>
      <c r="F22" s="10">
        <v>792</v>
      </c>
      <c r="G22" s="12">
        <v>1157252</v>
      </c>
      <c r="H22" s="13">
        <v>12</v>
      </c>
      <c r="I22" s="10">
        <v>24</v>
      </c>
      <c r="J22" s="10" t="s">
        <v>11</v>
      </c>
      <c r="K22" s="14">
        <v>0.28999999999999998</v>
      </c>
      <c r="L22" s="10" t="s">
        <v>19</v>
      </c>
      <c r="M22" s="10" t="s">
        <v>3</v>
      </c>
      <c r="N22" s="10">
        <v>1</v>
      </c>
      <c r="O22" s="10" t="str">
        <f t="shared" si="0"/>
        <v>Excellent</v>
      </c>
      <c r="P22" s="10" t="str">
        <f t="shared" si="1"/>
        <v>Medium</v>
      </c>
    </row>
    <row r="23" spans="1:16" x14ac:dyDescent="0.25">
      <c r="A23" s="9" t="s">
        <v>71</v>
      </c>
      <c r="B23" s="15">
        <v>45341</v>
      </c>
      <c r="C23" s="9">
        <v>48</v>
      </c>
      <c r="D23" s="9" t="s">
        <v>17</v>
      </c>
      <c r="E23" s="16">
        <v>2065103</v>
      </c>
      <c r="F23" s="9">
        <v>323</v>
      </c>
      <c r="G23" s="16">
        <v>218127</v>
      </c>
      <c r="H23" s="17">
        <v>18</v>
      </c>
      <c r="I23" s="9">
        <v>36</v>
      </c>
      <c r="J23" s="9" t="s">
        <v>10</v>
      </c>
      <c r="K23" s="18">
        <v>0.38</v>
      </c>
      <c r="L23" s="9" t="s">
        <v>19</v>
      </c>
      <c r="M23" s="9" t="s">
        <v>2</v>
      </c>
      <c r="N23" s="9">
        <v>1</v>
      </c>
      <c r="O23" s="9" t="str">
        <f t="shared" si="0"/>
        <v>Poor</v>
      </c>
      <c r="P23" s="9" t="str">
        <f t="shared" si="1"/>
        <v>Medium</v>
      </c>
    </row>
    <row r="24" spans="1:16" x14ac:dyDescent="0.25">
      <c r="A24" s="10" t="s">
        <v>72</v>
      </c>
      <c r="B24" s="11">
        <v>45527</v>
      </c>
      <c r="C24" s="10">
        <v>44</v>
      </c>
      <c r="D24" s="10" t="s">
        <v>16</v>
      </c>
      <c r="E24" s="12">
        <v>364911</v>
      </c>
      <c r="F24" s="10">
        <v>577</v>
      </c>
      <c r="G24" s="12">
        <v>1011217</v>
      </c>
      <c r="H24" s="13">
        <v>12</v>
      </c>
      <c r="I24" s="10">
        <v>36</v>
      </c>
      <c r="J24" s="10" t="s">
        <v>9</v>
      </c>
      <c r="K24" s="14">
        <v>0.28000000000000003</v>
      </c>
      <c r="L24" s="10" t="s">
        <v>22</v>
      </c>
      <c r="M24" s="10" t="s">
        <v>2</v>
      </c>
      <c r="N24" s="10">
        <v>0</v>
      </c>
      <c r="O24" s="10" t="str">
        <f t="shared" si="0"/>
        <v>Poor</v>
      </c>
      <c r="P24" s="10" t="str">
        <f t="shared" si="1"/>
        <v>Medium</v>
      </c>
    </row>
    <row r="25" spans="1:16" x14ac:dyDescent="0.25">
      <c r="A25" s="9" t="s">
        <v>73</v>
      </c>
      <c r="B25" s="15">
        <v>45259</v>
      </c>
      <c r="C25" s="9">
        <v>25</v>
      </c>
      <c r="D25" s="9" t="s">
        <v>16</v>
      </c>
      <c r="E25" s="16">
        <v>2258909</v>
      </c>
      <c r="F25" s="9">
        <v>559</v>
      </c>
      <c r="G25" s="16">
        <v>324813</v>
      </c>
      <c r="H25" s="17">
        <v>14</v>
      </c>
      <c r="I25" s="9">
        <v>12</v>
      </c>
      <c r="J25" s="9" t="s">
        <v>12</v>
      </c>
      <c r="K25" s="18">
        <v>0.4</v>
      </c>
      <c r="L25" s="9" t="s">
        <v>22</v>
      </c>
      <c r="M25" s="9" t="s">
        <v>5</v>
      </c>
      <c r="N25" s="9">
        <v>0</v>
      </c>
      <c r="O25" s="9" t="str">
        <f t="shared" si="0"/>
        <v>Poor</v>
      </c>
      <c r="P25" s="9" t="str">
        <f t="shared" si="1"/>
        <v>High</v>
      </c>
    </row>
    <row r="26" spans="1:16" x14ac:dyDescent="0.25">
      <c r="A26" s="10" t="s">
        <v>74</v>
      </c>
      <c r="B26" s="11">
        <v>45692</v>
      </c>
      <c r="C26" s="10">
        <v>56</v>
      </c>
      <c r="D26" s="10" t="s">
        <v>9</v>
      </c>
      <c r="E26" s="12">
        <v>1361208</v>
      </c>
      <c r="F26" s="10">
        <v>349</v>
      </c>
      <c r="G26" s="12">
        <v>161238</v>
      </c>
      <c r="H26" s="13">
        <v>13</v>
      </c>
      <c r="I26" s="10">
        <v>24</v>
      </c>
      <c r="J26" s="10" t="s">
        <v>10</v>
      </c>
      <c r="K26" s="14">
        <v>0.48</v>
      </c>
      <c r="L26" s="10" t="s">
        <v>22</v>
      </c>
      <c r="M26" s="10" t="s">
        <v>3</v>
      </c>
      <c r="N26" s="10">
        <v>1</v>
      </c>
      <c r="O26" s="10" t="str">
        <f t="shared" si="0"/>
        <v>Poor</v>
      </c>
      <c r="P26" s="10" t="str">
        <f t="shared" si="1"/>
        <v>High</v>
      </c>
    </row>
    <row r="27" spans="1:16" x14ac:dyDescent="0.25">
      <c r="A27" s="9" t="s">
        <v>75</v>
      </c>
      <c r="B27" s="15">
        <v>45893</v>
      </c>
      <c r="C27" s="9">
        <v>47</v>
      </c>
      <c r="D27" s="9" t="s">
        <v>16</v>
      </c>
      <c r="E27" s="16">
        <v>1116062</v>
      </c>
      <c r="F27" s="9">
        <v>753</v>
      </c>
      <c r="G27" s="16">
        <v>1962476</v>
      </c>
      <c r="H27" s="17">
        <v>21</v>
      </c>
      <c r="I27" s="9">
        <v>12</v>
      </c>
      <c r="J27" s="9" t="s">
        <v>11</v>
      </c>
      <c r="K27" s="18">
        <v>0.24</v>
      </c>
      <c r="L27" s="9" t="s">
        <v>20</v>
      </c>
      <c r="M27" s="9" t="s">
        <v>5</v>
      </c>
      <c r="N27" s="9">
        <v>0</v>
      </c>
      <c r="O27" s="9" t="str">
        <f t="shared" si="0"/>
        <v>Excellent</v>
      </c>
      <c r="P27" s="9" t="str">
        <f t="shared" si="1"/>
        <v>Medium</v>
      </c>
    </row>
    <row r="28" spans="1:16" x14ac:dyDescent="0.25">
      <c r="A28" s="10" t="s">
        <v>76</v>
      </c>
      <c r="B28" s="11">
        <v>45354</v>
      </c>
      <c r="C28" s="10">
        <v>51</v>
      </c>
      <c r="D28" s="10" t="s">
        <v>16</v>
      </c>
      <c r="E28" s="12">
        <v>253723</v>
      </c>
      <c r="F28" s="10">
        <v>729</v>
      </c>
      <c r="G28" s="12">
        <v>1239008</v>
      </c>
      <c r="H28" s="13">
        <v>6</v>
      </c>
      <c r="I28" s="10">
        <v>24</v>
      </c>
      <c r="J28" s="10" t="s">
        <v>9</v>
      </c>
      <c r="K28" s="14">
        <v>0.6</v>
      </c>
      <c r="L28" s="10" t="s">
        <v>21</v>
      </c>
      <c r="M28" s="10" t="s">
        <v>3</v>
      </c>
      <c r="N28" s="10">
        <v>0</v>
      </c>
      <c r="O28" s="10" t="str">
        <f t="shared" si="0"/>
        <v>Good</v>
      </c>
      <c r="P28" s="10" t="str">
        <f t="shared" si="1"/>
        <v>High</v>
      </c>
    </row>
    <row r="29" spans="1:16" x14ac:dyDescent="0.25">
      <c r="A29" s="9" t="s">
        <v>77</v>
      </c>
      <c r="B29" s="15">
        <v>45684</v>
      </c>
      <c r="C29" s="9">
        <v>50</v>
      </c>
      <c r="D29" s="9" t="s">
        <v>17</v>
      </c>
      <c r="E29" s="16">
        <v>326097</v>
      </c>
      <c r="F29" s="9">
        <v>522</v>
      </c>
      <c r="G29" s="16">
        <v>1438589</v>
      </c>
      <c r="H29" s="17">
        <v>23</v>
      </c>
      <c r="I29" s="9">
        <v>60</v>
      </c>
      <c r="J29" s="9" t="s">
        <v>9</v>
      </c>
      <c r="K29" s="18">
        <v>0.43</v>
      </c>
      <c r="L29" s="9" t="s">
        <v>19</v>
      </c>
      <c r="M29" s="9" t="s">
        <v>4</v>
      </c>
      <c r="N29" s="9">
        <v>0</v>
      </c>
      <c r="O29" s="9" t="str">
        <f t="shared" si="0"/>
        <v>Poor</v>
      </c>
      <c r="P29" s="9" t="str">
        <f t="shared" si="1"/>
        <v>High</v>
      </c>
    </row>
    <row r="30" spans="1:16" x14ac:dyDescent="0.25">
      <c r="A30" s="10" t="s">
        <v>78</v>
      </c>
      <c r="B30" s="11">
        <v>45026</v>
      </c>
      <c r="C30" s="10">
        <v>50</v>
      </c>
      <c r="D30" s="10" t="s">
        <v>9</v>
      </c>
      <c r="E30" s="12">
        <v>1220643</v>
      </c>
      <c r="F30" s="10">
        <v>772</v>
      </c>
      <c r="G30" s="12">
        <v>1842554</v>
      </c>
      <c r="H30" s="13">
        <v>17</v>
      </c>
      <c r="I30" s="10">
        <v>12</v>
      </c>
      <c r="J30" s="10" t="s">
        <v>12</v>
      </c>
      <c r="K30" s="14">
        <v>0.18</v>
      </c>
      <c r="L30" s="10" t="s">
        <v>21</v>
      </c>
      <c r="M30" s="10" t="s">
        <v>2</v>
      </c>
      <c r="N30" s="10">
        <v>0</v>
      </c>
      <c r="O30" s="10" t="str">
        <f t="shared" si="0"/>
        <v>Excellent</v>
      </c>
      <c r="P30" s="10" t="str">
        <f t="shared" si="1"/>
        <v>Low</v>
      </c>
    </row>
    <row r="31" spans="1:16" x14ac:dyDescent="0.25">
      <c r="A31" s="9" t="s">
        <v>79</v>
      </c>
      <c r="B31" s="15">
        <v>45770</v>
      </c>
      <c r="C31" s="9">
        <v>28</v>
      </c>
      <c r="D31" s="9" t="s">
        <v>9</v>
      </c>
      <c r="E31" s="16">
        <v>1206971</v>
      </c>
      <c r="F31" s="9">
        <v>409</v>
      </c>
      <c r="G31" s="16">
        <v>1507135</v>
      </c>
      <c r="H31" s="17">
        <v>18</v>
      </c>
      <c r="I31" s="9">
        <v>60</v>
      </c>
      <c r="J31" s="9" t="s">
        <v>10</v>
      </c>
      <c r="K31" s="18">
        <v>0.46</v>
      </c>
      <c r="L31" s="9" t="s">
        <v>20</v>
      </c>
      <c r="M31" s="9" t="s">
        <v>4</v>
      </c>
      <c r="N31" s="9">
        <v>1</v>
      </c>
      <c r="O31" s="9" t="str">
        <f t="shared" si="0"/>
        <v>Poor</v>
      </c>
      <c r="P31" s="9" t="str">
        <f t="shared" si="1"/>
        <v>High</v>
      </c>
    </row>
    <row r="32" spans="1:16" x14ac:dyDescent="0.25">
      <c r="A32" s="10" t="s">
        <v>80</v>
      </c>
      <c r="B32" s="11">
        <v>45432</v>
      </c>
      <c r="C32" s="10">
        <v>30</v>
      </c>
      <c r="D32" s="10" t="s">
        <v>17</v>
      </c>
      <c r="E32" s="12">
        <v>1491836</v>
      </c>
      <c r="F32" s="10">
        <v>622</v>
      </c>
      <c r="G32" s="12">
        <v>1909520</v>
      </c>
      <c r="H32" s="13">
        <v>24</v>
      </c>
      <c r="I32" s="10">
        <v>60</v>
      </c>
      <c r="J32" s="10" t="s">
        <v>12</v>
      </c>
      <c r="K32" s="14">
        <v>0.24</v>
      </c>
      <c r="L32" s="10" t="s">
        <v>20</v>
      </c>
      <c r="M32" s="10" t="s">
        <v>3</v>
      </c>
      <c r="N32" s="10">
        <v>0</v>
      </c>
      <c r="O32" s="10" t="str">
        <f t="shared" si="0"/>
        <v>Fair</v>
      </c>
      <c r="P32" s="10" t="str">
        <f t="shared" si="1"/>
        <v>Medium</v>
      </c>
    </row>
    <row r="33" spans="1:16" x14ac:dyDescent="0.25">
      <c r="A33" s="9" t="s">
        <v>81</v>
      </c>
      <c r="B33" s="15">
        <v>45583</v>
      </c>
      <c r="C33" s="9">
        <v>50</v>
      </c>
      <c r="D33" s="9" t="s">
        <v>9</v>
      </c>
      <c r="E33" s="16">
        <v>1032689</v>
      </c>
      <c r="F33" s="9">
        <v>610</v>
      </c>
      <c r="G33" s="16">
        <v>736636</v>
      </c>
      <c r="H33" s="17">
        <v>12</v>
      </c>
      <c r="I33" s="9">
        <v>24</v>
      </c>
      <c r="J33" s="9" t="s">
        <v>14</v>
      </c>
      <c r="K33" s="18">
        <v>0.6</v>
      </c>
      <c r="L33" s="9" t="s">
        <v>22</v>
      </c>
      <c r="M33" s="9" t="s">
        <v>4</v>
      </c>
      <c r="N33" s="9">
        <v>0</v>
      </c>
      <c r="O33" s="9" t="str">
        <f t="shared" si="0"/>
        <v>Fair</v>
      </c>
      <c r="P33" s="9" t="str">
        <f t="shared" si="1"/>
        <v>High</v>
      </c>
    </row>
    <row r="34" spans="1:16" x14ac:dyDescent="0.25">
      <c r="A34" s="10" t="s">
        <v>82</v>
      </c>
      <c r="B34" s="11">
        <v>45271</v>
      </c>
      <c r="C34" s="10">
        <v>47</v>
      </c>
      <c r="D34" s="10" t="s">
        <v>9</v>
      </c>
      <c r="E34" s="12">
        <v>1336181</v>
      </c>
      <c r="F34" s="10">
        <v>416</v>
      </c>
      <c r="G34" s="12">
        <v>90382</v>
      </c>
      <c r="H34" s="13">
        <v>18</v>
      </c>
      <c r="I34" s="10">
        <v>24</v>
      </c>
      <c r="J34" s="10" t="s">
        <v>11</v>
      </c>
      <c r="K34" s="14">
        <v>0.24</v>
      </c>
      <c r="L34" s="10" t="s">
        <v>21</v>
      </c>
      <c r="M34" s="10" t="s">
        <v>5</v>
      </c>
      <c r="N34" s="10">
        <v>0</v>
      </c>
      <c r="O34" s="10" t="str">
        <f t="shared" si="0"/>
        <v>Poor</v>
      </c>
      <c r="P34" s="10" t="str">
        <f t="shared" si="1"/>
        <v>Medium</v>
      </c>
    </row>
    <row r="35" spans="1:16" x14ac:dyDescent="0.25">
      <c r="A35" s="9" t="s">
        <v>83</v>
      </c>
      <c r="B35" s="15">
        <v>45166</v>
      </c>
      <c r="C35" s="9">
        <v>41</v>
      </c>
      <c r="D35" s="9" t="s">
        <v>16</v>
      </c>
      <c r="E35" s="16">
        <v>1316587</v>
      </c>
      <c r="F35" s="9">
        <v>477</v>
      </c>
      <c r="G35" s="16">
        <v>1415483</v>
      </c>
      <c r="H35" s="17">
        <v>23</v>
      </c>
      <c r="I35" s="9">
        <v>12</v>
      </c>
      <c r="J35" s="9" t="s">
        <v>10</v>
      </c>
      <c r="K35" s="18">
        <v>0.19</v>
      </c>
      <c r="L35" s="9" t="s">
        <v>21</v>
      </c>
      <c r="M35" s="9" t="s">
        <v>3</v>
      </c>
      <c r="N35" s="9">
        <v>0</v>
      </c>
      <c r="O35" s="9" t="str">
        <f t="shared" si="0"/>
        <v>Poor</v>
      </c>
      <c r="P35" s="9" t="str">
        <f t="shared" si="1"/>
        <v>Low</v>
      </c>
    </row>
    <row r="36" spans="1:16" x14ac:dyDescent="0.25">
      <c r="A36" s="10" t="s">
        <v>84</v>
      </c>
      <c r="B36" s="11">
        <v>45352</v>
      </c>
      <c r="C36" s="10">
        <v>49</v>
      </c>
      <c r="D36" s="10" t="s">
        <v>16</v>
      </c>
      <c r="E36" s="12">
        <v>1760749</v>
      </c>
      <c r="F36" s="10">
        <v>507</v>
      </c>
      <c r="G36" s="12">
        <v>1274605</v>
      </c>
      <c r="H36" s="13">
        <v>16</v>
      </c>
      <c r="I36" s="10">
        <v>60</v>
      </c>
      <c r="J36" s="10" t="s">
        <v>13</v>
      </c>
      <c r="K36" s="14">
        <v>0.51</v>
      </c>
      <c r="L36" s="10" t="s">
        <v>21</v>
      </c>
      <c r="M36" s="10" t="s">
        <v>5</v>
      </c>
      <c r="N36" s="10">
        <v>1</v>
      </c>
      <c r="O36" s="10" t="str">
        <f t="shared" si="0"/>
        <v>Poor</v>
      </c>
      <c r="P36" s="10" t="str">
        <f t="shared" si="1"/>
        <v>High</v>
      </c>
    </row>
    <row r="37" spans="1:16" x14ac:dyDescent="0.25">
      <c r="A37" s="9" t="s">
        <v>85</v>
      </c>
      <c r="B37" s="15">
        <v>45151</v>
      </c>
      <c r="C37" s="9">
        <v>52</v>
      </c>
      <c r="D37" s="9" t="s">
        <v>16</v>
      </c>
      <c r="E37" s="16">
        <v>493840</v>
      </c>
      <c r="F37" s="9">
        <v>713</v>
      </c>
      <c r="G37" s="16">
        <v>1427495</v>
      </c>
      <c r="H37" s="17">
        <v>16</v>
      </c>
      <c r="I37" s="9">
        <v>60</v>
      </c>
      <c r="J37" s="9" t="s">
        <v>9</v>
      </c>
      <c r="K37" s="18">
        <v>0.21</v>
      </c>
      <c r="L37" s="9" t="s">
        <v>22</v>
      </c>
      <c r="M37" s="9" t="s">
        <v>2</v>
      </c>
      <c r="N37" s="9">
        <v>0</v>
      </c>
      <c r="O37" s="9" t="str">
        <f t="shared" si="0"/>
        <v>Good</v>
      </c>
      <c r="P37" s="9" t="str">
        <f t="shared" si="1"/>
        <v>Medium</v>
      </c>
    </row>
    <row r="38" spans="1:16" x14ac:dyDescent="0.25">
      <c r="A38" s="10" t="s">
        <v>86</v>
      </c>
      <c r="B38" s="11">
        <v>45869</v>
      </c>
      <c r="C38" s="10">
        <v>64</v>
      </c>
      <c r="D38" s="10" t="s">
        <v>17</v>
      </c>
      <c r="E38" s="12">
        <v>1763996</v>
      </c>
      <c r="F38" s="10">
        <v>801</v>
      </c>
      <c r="G38" s="12">
        <v>1160778</v>
      </c>
      <c r="H38" s="13">
        <v>18</v>
      </c>
      <c r="I38" s="10">
        <v>60</v>
      </c>
      <c r="J38" s="10" t="s">
        <v>12</v>
      </c>
      <c r="K38" s="14">
        <v>0.36</v>
      </c>
      <c r="L38" s="10" t="s">
        <v>22</v>
      </c>
      <c r="M38" s="10" t="s">
        <v>5</v>
      </c>
      <c r="N38" s="10">
        <v>0</v>
      </c>
      <c r="O38" s="10" t="str">
        <f t="shared" si="0"/>
        <v>Excellent</v>
      </c>
      <c r="P38" s="10" t="str">
        <f t="shared" si="1"/>
        <v>Medium</v>
      </c>
    </row>
    <row r="39" spans="1:16" x14ac:dyDescent="0.25">
      <c r="A39" s="9" t="s">
        <v>87</v>
      </c>
      <c r="B39" s="15">
        <v>45473</v>
      </c>
      <c r="C39" s="9">
        <v>43</v>
      </c>
      <c r="D39" s="9" t="s">
        <v>9</v>
      </c>
      <c r="E39" s="16">
        <v>260952</v>
      </c>
      <c r="F39" s="9">
        <v>558</v>
      </c>
      <c r="G39" s="16">
        <v>788392</v>
      </c>
      <c r="H39" s="17">
        <v>20</v>
      </c>
      <c r="I39" s="9">
        <v>60</v>
      </c>
      <c r="J39" s="9" t="s">
        <v>13</v>
      </c>
      <c r="K39" s="18">
        <v>0.46</v>
      </c>
      <c r="L39" s="9" t="s">
        <v>21</v>
      </c>
      <c r="M39" s="9" t="s">
        <v>5</v>
      </c>
      <c r="N39" s="9">
        <v>1</v>
      </c>
      <c r="O39" s="9" t="str">
        <f t="shared" si="0"/>
        <v>Poor</v>
      </c>
      <c r="P39" s="9" t="str">
        <f t="shared" si="1"/>
        <v>High</v>
      </c>
    </row>
    <row r="40" spans="1:16" x14ac:dyDescent="0.25">
      <c r="A40" s="10" t="s">
        <v>88</v>
      </c>
      <c r="B40" s="11">
        <v>45241</v>
      </c>
      <c r="C40" s="10">
        <v>61</v>
      </c>
      <c r="D40" s="10" t="s">
        <v>9</v>
      </c>
      <c r="E40" s="12">
        <v>481375</v>
      </c>
      <c r="F40" s="10">
        <v>448</v>
      </c>
      <c r="G40" s="12">
        <v>1834042</v>
      </c>
      <c r="H40" s="13">
        <v>21</v>
      </c>
      <c r="I40" s="10">
        <v>24</v>
      </c>
      <c r="J40" s="10" t="s">
        <v>12</v>
      </c>
      <c r="K40" s="14">
        <v>0.31</v>
      </c>
      <c r="L40" s="10" t="s">
        <v>21</v>
      </c>
      <c r="M40" s="10" t="s">
        <v>2</v>
      </c>
      <c r="N40" s="10">
        <v>0</v>
      </c>
      <c r="O40" s="10" t="str">
        <f t="shared" si="0"/>
        <v>Poor</v>
      </c>
      <c r="P40" s="10" t="str">
        <f t="shared" si="1"/>
        <v>Medium</v>
      </c>
    </row>
    <row r="41" spans="1:16" x14ac:dyDescent="0.25">
      <c r="A41" s="9" t="s">
        <v>89</v>
      </c>
      <c r="B41" s="15">
        <v>46005</v>
      </c>
      <c r="C41" s="9">
        <v>62</v>
      </c>
      <c r="D41" s="9" t="s">
        <v>9</v>
      </c>
      <c r="E41" s="16">
        <v>1976376</v>
      </c>
      <c r="F41" s="9">
        <v>524</v>
      </c>
      <c r="G41" s="16">
        <v>1726251</v>
      </c>
      <c r="H41" s="17">
        <v>14</v>
      </c>
      <c r="I41" s="9">
        <v>12</v>
      </c>
      <c r="J41" s="9" t="s">
        <v>14</v>
      </c>
      <c r="K41" s="18">
        <v>0.28999999999999998</v>
      </c>
      <c r="L41" s="9" t="s">
        <v>22</v>
      </c>
      <c r="M41" s="9" t="s">
        <v>5</v>
      </c>
      <c r="N41" s="9">
        <v>0</v>
      </c>
      <c r="O41" s="9" t="str">
        <f t="shared" si="0"/>
        <v>Poor</v>
      </c>
      <c r="P41" s="9" t="str">
        <f t="shared" si="1"/>
        <v>Medium</v>
      </c>
    </row>
    <row r="42" spans="1:16" x14ac:dyDescent="0.25">
      <c r="A42" s="10" t="s">
        <v>90</v>
      </c>
      <c r="B42" s="11">
        <v>45630</v>
      </c>
      <c r="C42" s="10">
        <v>64</v>
      </c>
      <c r="D42" s="10" t="s">
        <v>9</v>
      </c>
      <c r="E42" s="12">
        <v>1400119</v>
      </c>
      <c r="F42" s="10">
        <v>460</v>
      </c>
      <c r="G42" s="12">
        <v>1045880</v>
      </c>
      <c r="H42" s="13">
        <v>24</v>
      </c>
      <c r="I42" s="10">
        <v>12</v>
      </c>
      <c r="J42" s="10" t="s">
        <v>13</v>
      </c>
      <c r="K42" s="14">
        <v>0.49</v>
      </c>
      <c r="L42" s="10" t="s">
        <v>21</v>
      </c>
      <c r="M42" s="10" t="s">
        <v>3</v>
      </c>
      <c r="N42" s="10">
        <v>1</v>
      </c>
      <c r="O42" s="10" t="str">
        <f t="shared" si="0"/>
        <v>Poor</v>
      </c>
      <c r="P42" s="10" t="str">
        <f t="shared" si="1"/>
        <v>High</v>
      </c>
    </row>
    <row r="43" spans="1:16" x14ac:dyDescent="0.25">
      <c r="A43" s="9" t="s">
        <v>91</v>
      </c>
      <c r="B43" s="15">
        <v>45589</v>
      </c>
      <c r="C43" s="9">
        <v>39</v>
      </c>
      <c r="D43" s="9" t="s">
        <v>17</v>
      </c>
      <c r="E43" s="16">
        <v>656641</v>
      </c>
      <c r="F43" s="9">
        <v>604</v>
      </c>
      <c r="G43" s="16">
        <v>1643535</v>
      </c>
      <c r="H43" s="17">
        <v>20</v>
      </c>
      <c r="I43" s="9">
        <v>12</v>
      </c>
      <c r="J43" s="9" t="s">
        <v>9</v>
      </c>
      <c r="K43" s="18">
        <v>0.49</v>
      </c>
      <c r="L43" s="9" t="s">
        <v>22</v>
      </c>
      <c r="M43" s="9" t="s">
        <v>3</v>
      </c>
      <c r="N43" s="9">
        <v>1</v>
      </c>
      <c r="O43" s="9" t="str">
        <f t="shared" si="0"/>
        <v>Fair</v>
      </c>
      <c r="P43" s="9" t="str">
        <f t="shared" si="1"/>
        <v>High</v>
      </c>
    </row>
    <row r="44" spans="1:16" x14ac:dyDescent="0.25">
      <c r="A44" s="10" t="s">
        <v>92</v>
      </c>
      <c r="B44" s="11">
        <v>45193</v>
      </c>
      <c r="C44" s="10">
        <v>43</v>
      </c>
      <c r="D44" s="10" t="s">
        <v>17</v>
      </c>
      <c r="E44" s="12">
        <v>969411</v>
      </c>
      <c r="F44" s="10">
        <v>765</v>
      </c>
      <c r="G44" s="12">
        <v>719191</v>
      </c>
      <c r="H44" s="13">
        <v>21</v>
      </c>
      <c r="I44" s="10">
        <v>12</v>
      </c>
      <c r="J44" s="10" t="s">
        <v>10</v>
      </c>
      <c r="K44" s="14">
        <v>0.4</v>
      </c>
      <c r="L44" s="10" t="s">
        <v>19</v>
      </c>
      <c r="M44" s="10" t="s">
        <v>4</v>
      </c>
      <c r="N44" s="10">
        <v>0</v>
      </c>
      <c r="O44" s="10" t="str">
        <f t="shared" si="0"/>
        <v>Excellent</v>
      </c>
      <c r="P44" s="10" t="str">
        <f t="shared" si="1"/>
        <v>High</v>
      </c>
    </row>
    <row r="45" spans="1:16" x14ac:dyDescent="0.25">
      <c r="A45" s="9" t="s">
        <v>93</v>
      </c>
      <c r="B45" s="15">
        <v>45695</v>
      </c>
      <c r="C45" s="9">
        <v>32</v>
      </c>
      <c r="D45" s="9" t="s">
        <v>16</v>
      </c>
      <c r="E45" s="16">
        <v>385232</v>
      </c>
      <c r="F45" s="9">
        <v>456</v>
      </c>
      <c r="G45" s="16">
        <v>1237080</v>
      </c>
      <c r="H45" s="17">
        <v>9</v>
      </c>
      <c r="I45" s="9">
        <v>60</v>
      </c>
      <c r="J45" s="9" t="s">
        <v>13</v>
      </c>
      <c r="K45" s="18">
        <v>0.31</v>
      </c>
      <c r="L45" s="9" t="s">
        <v>18</v>
      </c>
      <c r="M45" s="9" t="s">
        <v>3</v>
      </c>
      <c r="N45" s="9">
        <v>0</v>
      </c>
      <c r="O45" s="9" t="str">
        <f t="shared" si="0"/>
        <v>Poor</v>
      </c>
      <c r="P45" s="9" t="str">
        <f t="shared" si="1"/>
        <v>Medium</v>
      </c>
    </row>
    <row r="46" spans="1:16" x14ac:dyDescent="0.25">
      <c r="A46" s="10" t="s">
        <v>94</v>
      </c>
      <c r="B46" s="11">
        <v>45856</v>
      </c>
      <c r="C46" s="10">
        <v>46</v>
      </c>
      <c r="D46" s="10" t="s">
        <v>9</v>
      </c>
      <c r="E46" s="12">
        <v>926982</v>
      </c>
      <c r="F46" s="10">
        <v>758</v>
      </c>
      <c r="G46" s="12">
        <v>159294</v>
      </c>
      <c r="H46" s="13">
        <v>21</v>
      </c>
      <c r="I46" s="10">
        <v>60</v>
      </c>
      <c r="J46" s="10" t="s">
        <v>9</v>
      </c>
      <c r="K46" s="14">
        <v>0.12</v>
      </c>
      <c r="L46" s="10" t="s">
        <v>21</v>
      </c>
      <c r="M46" s="10" t="s">
        <v>4</v>
      </c>
      <c r="N46" s="10">
        <v>1</v>
      </c>
      <c r="O46" s="10" t="str">
        <f t="shared" si="0"/>
        <v>Excellent</v>
      </c>
      <c r="P46" s="10" t="str">
        <f t="shared" si="1"/>
        <v>Low</v>
      </c>
    </row>
    <row r="47" spans="1:16" x14ac:dyDescent="0.25">
      <c r="A47" s="9" t="s">
        <v>95</v>
      </c>
      <c r="B47" s="15">
        <v>45156</v>
      </c>
      <c r="C47" s="9">
        <v>59</v>
      </c>
      <c r="D47" s="9" t="s">
        <v>9</v>
      </c>
      <c r="E47" s="16">
        <v>2229019</v>
      </c>
      <c r="F47" s="9">
        <v>663</v>
      </c>
      <c r="G47" s="16">
        <v>52958</v>
      </c>
      <c r="H47" s="17">
        <v>21</v>
      </c>
      <c r="I47" s="9">
        <v>24</v>
      </c>
      <c r="J47" s="9" t="s">
        <v>12</v>
      </c>
      <c r="K47" s="18">
        <v>0.22</v>
      </c>
      <c r="L47" s="9" t="s">
        <v>18</v>
      </c>
      <c r="M47" s="9" t="s">
        <v>2</v>
      </c>
      <c r="N47" s="9">
        <v>0</v>
      </c>
      <c r="O47" s="9" t="str">
        <f t="shared" si="0"/>
        <v>Fair</v>
      </c>
      <c r="P47" s="9" t="str">
        <f t="shared" si="1"/>
        <v>Medium</v>
      </c>
    </row>
    <row r="48" spans="1:16" x14ac:dyDescent="0.25">
      <c r="A48" s="10" t="s">
        <v>96</v>
      </c>
      <c r="B48" s="11">
        <v>45095</v>
      </c>
      <c r="C48" s="10">
        <v>56</v>
      </c>
      <c r="D48" s="10" t="s">
        <v>16</v>
      </c>
      <c r="E48" s="12">
        <v>1356645</v>
      </c>
      <c r="F48" s="10">
        <v>605</v>
      </c>
      <c r="G48" s="12">
        <v>139744</v>
      </c>
      <c r="H48" s="13">
        <v>23</v>
      </c>
      <c r="I48" s="10">
        <v>36</v>
      </c>
      <c r="J48" s="10" t="s">
        <v>10</v>
      </c>
      <c r="K48" s="14">
        <v>0.25</v>
      </c>
      <c r="L48" s="10" t="s">
        <v>20</v>
      </c>
      <c r="M48" s="10" t="s">
        <v>2</v>
      </c>
      <c r="N48" s="10">
        <v>0</v>
      </c>
      <c r="O48" s="10" t="str">
        <f t="shared" si="0"/>
        <v>Fair</v>
      </c>
      <c r="P48" s="10" t="str">
        <f t="shared" si="1"/>
        <v>Medium</v>
      </c>
    </row>
    <row r="49" spans="1:16" x14ac:dyDescent="0.25">
      <c r="A49" s="9" t="s">
        <v>97</v>
      </c>
      <c r="B49" s="15">
        <v>45472</v>
      </c>
      <c r="C49" s="9">
        <v>29</v>
      </c>
      <c r="D49" s="9" t="s">
        <v>17</v>
      </c>
      <c r="E49" s="16">
        <v>2245099</v>
      </c>
      <c r="F49" s="9">
        <v>785</v>
      </c>
      <c r="G49" s="16">
        <v>1593062</v>
      </c>
      <c r="H49" s="17">
        <v>18</v>
      </c>
      <c r="I49" s="9">
        <v>24</v>
      </c>
      <c r="J49" s="9" t="s">
        <v>9</v>
      </c>
      <c r="K49" s="18">
        <v>0.28000000000000003</v>
      </c>
      <c r="L49" s="9" t="s">
        <v>21</v>
      </c>
      <c r="M49" s="9" t="s">
        <v>3</v>
      </c>
      <c r="N49" s="9">
        <v>0</v>
      </c>
      <c r="O49" s="9" t="str">
        <f t="shared" si="0"/>
        <v>Excellent</v>
      </c>
      <c r="P49" s="9" t="str">
        <f t="shared" si="1"/>
        <v>Medium</v>
      </c>
    </row>
    <row r="50" spans="1:16" x14ac:dyDescent="0.25">
      <c r="A50" s="10" t="s">
        <v>98</v>
      </c>
      <c r="B50" s="11">
        <v>45178</v>
      </c>
      <c r="C50" s="10">
        <v>30</v>
      </c>
      <c r="D50" s="10" t="s">
        <v>17</v>
      </c>
      <c r="E50" s="12">
        <v>1983798</v>
      </c>
      <c r="F50" s="10">
        <v>661</v>
      </c>
      <c r="G50" s="12">
        <v>1186485</v>
      </c>
      <c r="H50" s="13">
        <v>7</v>
      </c>
      <c r="I50" s="10">
        <v>60</v>
      </c>
      <c r="J50" s="10" t="s">
        <v>9</v>
      </c>
      <c r="K50" s="14">
        <v>0.14000000000000001</v>
      </c>
      <c r="L50" s="10" t="s">
        <v>20</v>
      </c>
      <c r="M50" s="10" t="s">
        <v>4</v>
      </c>
      <c r="N50" s="10">
        <v>0</v>
      </c>
      <c r="O50" s="10" t="str">
        <f t="shared" si="0"/>
        <v>Fair</v>
      </c>
      <c r="P50" s="10" t="str">
        <f t="shared" si="1"/>
        <v>Low</v>
      </c>
    </row>
    <row r="51" spans="1:16" x14ac:dyDescent="0.25">
      <c r="A51" s="9" t="s">
        <v>99</v>
      </c>
      <c r="B51" s="15">
        <v>45297</v>
      </c>
      <c r="C51" s="9">
        <v>59</v>
      </c>
      <c r="D51" s="9" t="s">
        <v>9</v>
      </c>
      <c r="E51" s="16">
        <v>670072</v>
      </c>
      <c r="F51" s="9">
        <v>390</v>
      </c>
      <c r="G51" s="16">
        <v>757190</v>
      </c>
      <c r="H51" s="17">
        <v>14</v>
      </c>
      <c r="I51" s="9">
        <v>36</v>
      </c>
      <c r="J51" s="9" t="s">
        <v>13</v>
      </c>
      <c r="K51" s="18">
        <v>0.43</v>
      </c>
      <c r="L51" s="9" t="s">
        <v>18</v>
      </c>
      <c r="M51" s="9" t="s">
        <v>3</v>
      </c>
      <c r="N51" s="9">
        <v>0</v>
      </c>
      <c r="O51" s="9" t="str">
        <f t="shared" si="0"/>
        <v>Poor</v>
      </c>
      <c r="P51" s="9" t="str">
        <f t="shared" si="1"/>
        <v>High</v>
      </c>
    </row>
    <row r="52" spans="1:16" x14ac:dyDescent="0.25">
      <c r="A52" s="10" t="s">
        <v>100</v>
      </c>
      <c r="B52" s="11">
        <v>44972</v>
      </c>
      <c r="C52" s="10">
        <v>59</v>
      </c>
      <c r="D52" s="10" t="s">
        <v>17</v>
      </c>
      <c r="E52" s="12">
        <v>1989300</v>
      </c>
      <c r="F52" s="10">
        <v>441</v>
      </c>
      <c r="G52" s="12">
        <v>1980222</v>
      </c>
      <c r="H52" s="13">
        <v>11</v>
      </c>
      <c r="I52" s="10">
        <v>24</v>
      </c>
      <c r="J52" s="10" t="s">
        <v>11</v>
      </c>
      <c r="K52" s="14">
        <v>0.18</v>
      </c>
      <c r="L52" s="10" t="s">
        <v>22</v>
      </c>
      <c r="M52" s="10" t="s">
        <v>5</v>
      </c>
      <c r="N52" s="10">
        <v>1</v>
      </c>
      <c r="O52" s="10" t="str">
        <f t="shared" si="0"/>
        <v>Poor</v>
      </c>
      <c r="P52" s="10" t="str">
        <f t="shared" si="1"/>
        <v>Low</v>
      </c>
    </row>
    <row r="53" spans="1:16" x14ac:dyDescent="0.25">
      <c r="A53" s="9" t="s">
        <v>101</v>
      </c>
      <c r="B53" s="15">
        <v>45865</v>
      </c>
      <c r="C53" s="9">
        <v>30</v>
      </c>
      <c r="D53" s="9" t="s">
        <v>17</v>
      </c>
      <c r="E53" s="16">
        <v>1245221</v>
      </c>
      <c r="F53" s="9">
        <v>556</v>
      </c>
      <c r="G53" s="16">
        <v>430296</v>
      </c>
      <c r="H53" s="17">
        <v>22</v>
      </c>
      <c r="I53" s="9">
        <v>60</v>
      </c>
      <c r="J53" s="9" t="s">
        <v>10</v>
      </c>
      <c r="K53" s="18">
        <v>0.48</v>
      </c>
      <c r="L53" s="9" t="s">
        <v>20</v>
      </c>
      <c r="M53" s="9" t="s">
        <v>4</v>
      </c>
      <c r="N53" s="9">
        <v>1</v>
      </c>
      <c r="O53" s="9" t="str">
        <f t="shared" si="0"/>
        <v>Poor</v>
      </c>
      <c r="P53" s="9" t="str">
        <f t="shared" si="1"/>
        <v>High</v>
      </c>
    </row>
    <row r="54" spans="1:16" x14ac:dyDescent="0.25">
      <c r="A54" s="10" t="s">
        <v>102</v>
      </c>
      <c r="B54" s="11">
        <v>45207</v>
      </c>
      <c r="C54" s="10">
        <v>51</v>
      </c>
      <c r="D54" s="10" t="s">
        <v>16</v>
      </c>
      <c r="E54" s="12">
        <v>2302674</v>
      </c>
      <c r="F54" s="10">
        <v>397</v>
      </c>
      <c r="G54" s="12">
        <v>472542</v>
      </c>
      <c r="H54" s="13">
        <v>14</v>
      </c>
      <c r="I54" s="10">
        <v>36</v>
      </c>
      <c r="J54" s="10" t="s">
        <v>14</v>
      </c>
      <c r="K54" s="14">
        <v>0.45</v>
      </c>
      <c r="L54" s="10" t="s">
        <v>20</v>
      </c>
      <c r="M54" s="10" t="s">
        <v>2</v>
      </c>
      <c r="N54" s="10">
        <v>0</v>
      </c>
      <c r="O54" s="10" t="str">
        <f t="shared" si="0"/>
        <v>Poor</v>
      </c>
      <c r="P54" s="10" t="str">
        <f t="shared" si="1"/>
        <v>High</v>
      </c>
    </row>
    <row r="55" spans="1:16" x14ac:dyDescent="0.25">
      <c r="A55" s="9" t="s">
        <v>103</v>
      </c>
      <c r="B55" s="15">
        <v>45812</v>
      </c>
      <c r="C55" s="9">
        <v>49</v>
      </c>
      <c r="D55" s="9" t="s">
        <v>16</v>
      </c>
      <c r="E55" s="16">
        <v>399718</v>
      </c>
      <c r="F55" s="9">
        <v>328</v>
      </c>
      <c r="G55" s="16">
        <v>1622272</v>
      </c>
      <c r="H55" s="17">
        <v>21</v>
      </c>
      <c r="I55" s="9">
        <v>36</v>
      </c>
      <c r="J55" s="9" t="s">
        <v>9</v>
      </c>
      <c r="K55" s="18">
        <v>0.56999999999999995</v>
      </c>
      <c r="L55" s="9" t="s">
        <v>18</v>
      </c>
      <c r="M55" s="9" t="s">
        <v>3</v>
      </c>
      <c r="N55" s="9">
        <v>1</v>
      </c>
      <c r="O55" s="9" t="str">
        <f t="shared" si="0"/>
        <v>Poor</v>
      </c>
      <c r="P55" s="9" t="str">
        <f t="shared" si="1"/>
        <v>High</v>
      </c>
    </row>
    <row r="56" spans="1:16" x14ac:dyDescent="0.25">
      <c r="A56" s="10" t="s">
        <v>104</v>
      </c>
      <c r="B56" s="11">
        <v>45421</v>
      </c>
      <c r="C56" s="10">
        <v>31</v>
      </c>
      <c r="D56" s="10" t="s">
        <v>9</v>
      </c>
      <c r="E56" s="12">
        <v>1914894</v>
      </c>
      <c r="F56" s="10">
        <v>508</v>
      </c>
      <c r="G56" s="12">
        <v>1796632</v>
      </c>
      <c r="H56" s="13">
        <v>16</v>
      </c>
      <c r="I56" s="10">
        <v>36</v>
      </c>
      <c r="J56" s="10" t="s">
        <v>9</v>
      </c>
      <c r="K56" s="14">
        <v>0.28000000000000003</v>
      </c>
      <c r="L56" s="10" t="s">
        <v>21</v>
      </c>
      <c r="M56" s="10" t="s">
        <v>3</v>
      </c>
      <c r="N56" s="10">
        <v>0</v>
      </c>
      <c r="O56" s="10" t="str">
        <f t="shared" si="0"/>
        <v>Poor</v>
      </c>
      <c r="P56" s="10" t="str">
        <f t="shared" si="1"/>
        <v>Medium</v>
      </c>
    </row>
    <row r="57" spans="1:16" x14ac:dyDescent="0.25">
      <c r="A57" s="9" t="s">
        <v>105</v>
      </c>
      <c r="B57" s="15">
        <v>45576</v>
      </c>
      <c r="C57" s="9">
        <v>44</v>
      </c>
      <c r="D57" s="9" t="s">
        <v>9</v>
      </c>
      <c r="E57" s="16">
        <v>493790</v>
      </c>
      <c r="F57" s="9">
        <v>494</v>
      </c>
      <c r="G57" s="16">
        <v>401426</v>
      </c>
      <c r="H57" s="17">
        <v>24</v>
      </c>
      <c r="I57" s="9">
        <v>36</v>
      </c>
      <c r="J57" s="9" t="s">
        <v>11</v>
      </c>
      <c r="K57" s="18">
        <v>0.36</v>
      </c>
      <c r="L57" s="9" t="s">
        <v>19</v>
      </c>
      <c r="M57" s="9" t="s">
        <v>3</v>
      </c>
      <c r="N57" s="9">
        <v>0</v>
      </c>
      <c r="O57" s="9" t="str">
        <f t="shared" si="0"/>
        <v>Poor</v>
      </c>
      <c r="P57" s="9" t="str">
        <f t="shared" si="1"/>
        <v>Medium</v>
      </c>
    </row>
    <row r="58" spans="1:16" x14ac:dyDescent="0.25">
      <c r="A58" s="10" t="s">
        <v>106</v>
      </c>
      <c r="B58" s="11">
        <v>45465</v>
      </c>
      <c r="C58" s="10">
        <v>59</v>
      </c>
      <c r="D58" s="10" t="s">
        <v>9</v>
      </c>
      <c r="E58" s="12">
        <v>976606</v>
      </c>
      <c r="F58" s="10">
        <v>360</v>
      </c>
      <c r="G58" s="12">
        <v>525007</v>
      </c>
      <c r="H58" s="13">
        <v>10</v>
      </c>
      <c r="I58" s="10">
        <v>12</v>
      </c>
      <c r="J58" s="10" t="s">
        <v>12</v>
      </c>
      <c r="K58" s="14">
        <v>0.34</v>
      </c>
      <c r="L58" s="10" t="s">
        <v>20</v>
      </c>
      <c r="M58" s="10" t="s">
        <v>5</v>
      </c>
      <c r="N58" s="10">
        <v>0</v>
      </c>
      <c r="O58" s="10" t="str">
        <f t="shared" si="0"/>
        <v>Poor</v>
      </c>
      <c r="P58" s="10" t="str">
        <f t="shared" si="1"/>
        <v>Medium</v>
      </c>
    </row>
    <row r="59" spans="1:16" x14ac:dyDescent="0.25">
      <c r="A59" s="9" t="s">
        <v>107</v>
      </c>
      <c r="B59" s="15">
        <v>44936</v>
      </c>
      <c r="C59" s="9">
        <v>41</v>
      </c>
      <c r="D59" s="9" t="s">
        <v>17</v>
      </c>
      <c r="E59" s="16">
        <v>1880167</v>
      </c>
      <c r="F59" s="9">
        <v>311</v>
      </c>
      <c r="G59" s="16">
        <v>1964154</v>
      </c>
      <c r="H59" s="17">
        <v>19</v>
      </c>
      <c r="I59" s="9">
        <v>12</v>
      </c>
      <c r="J59" s="9" t="s">
        <v>12</v>
      </c>
      <c r="K59" s="18">
        <v>0.46</v>
      </c>
      <c r="L59" s="9" t="s">
        <v>19</v>
      </c>
      <c r="M59" s="9" t="s">
        <v>5</v>
      </c>
      <c r="N59" s="9">
        <v>1</v>
      </c>
      <c r="O59" s="9" t="str">
        <f t="shared" si="0"/>
        <v>Poor</v>
      </c>
      <c r="P59" s="9" t="str">
        <f t="shared" si="1"/>
        <v>High</v>
      </c>
    </row>
    <row r="60" spans="1:16" x14ac:dyDescent="0.25">
      <c r="A60" s="10" t="s">
        <v>108</v>
      </c>
      <c r="B60" s="11">
        <v>44961</v>
      </c>
      <c r="C60" s="10">
        <v>51</v>
      </c>
      <c r="D60" s="10" t="s">
        <v>9</v>
      </c>
      <c r="E60" s="12">
        <v>1770190</v>
      </c>
      <c r="F60" s="10">
        <v>522</v>
      </c>
      <c r="G60" s="12">
        <v>248192</v>
      </c>
      <c r="H60" s="13">
        <v>17</v>
      </c>
      <c r="I60" s="10">
        <v>12</v>
      </c>
      <c r="J60" s="10" t="s">
        <v>12</v>
      </c>
      <c r="K60" s="14">
        <v>0.43</v>
      </c>
      <c r="L60" s="10" t="s">
        <v>22</v>
      </c>
      <c r="M60" s="10" t="s">
        <v>5</v>
      </c>
      <c r="N60" s="10">
        <v>0</v>
      </c>
      <c r="O60" s="10" t="str">
        <f t="shared" si="0"/>
        <v>Poor</v>
      </c>
      <c r="P60" s="10" t="str">
        <f t="shared" si="1"/>
        <v>High</v>
      </c>
    </row>
    <row r="61" spans="1:16" x14ac:dyDescent="0.25">
      <c r="A61" s="9" t="s">
        <v>109</v>
      </c>
      <c r="B61" s="15">
        <v>45450</v>
      </c>
      <c r="C61" s="9">
        <v>40</v>
      </c>
      <c r="D61" s="9" t="s">
        <v>9</v>
      </c>
      <c r="E61" s="16">
        <v>1378694</v>
      </c>
      <c r="F61" s="9">
        <v>545</v>
      </c>
      <c r="G61" s="16">
        <v>153283</v>
      </c>
      <c r="H61" s="17">
        <v>22</v>
      </c>
      <c r="I61" s="9">
        <v>24</v>
      </c>
      <c r="J61" s="9" t="s">
        <v>13</v>
      </c>
      <c r="K61" s="18">
        <v>0.17</v>
      </c>
      <c r="L61" s="9" t="s">
        <v>19</v>
      </c>
      <c r="M61" s="9" t="s">
        <v>3</v>
      </c>
      <c r="N61" s="9">
        <v>0</v>
      </c>
      <c r="O61" s="9" t="str">
        <f t="shared" si="0"/>
        <v>Poor</v>
      </c>
      <c r="P61" s="9" t="str">
        <f t="shared" si="1"/>
        <v>Low</v>
      </c>
    </row>
    <row r="62" spans="1:16" x14ac:dyDescent="0.25">
      <c r="A62" s="10" t="s">
        <v>110</v>
      </c>
      <c r="B62" s="11">
        <v>45990</v>
      </c>
      <c r="C62" s="10">
        <v>51</v>
      </c>
      <c r="D62" s="10" t="s">
        <v>16</v>
      </c>
      <c r="E62" s="12">
        <v>2020665</v>
      </c>
      <c r="F62" s="10">
        <v>358</v>
      </c>
      <c r="G62" s="12">
        <v>1009337</v>
      </c>
      <c r="H62" s="13">
        <v>16</v>
      </c>
      <c r="I62" s="10">
        <v>60</v>
      </c>
      <c r="J62" s="10" t="s">
        <v>9</v>
      </c>
      <c r="K62" s="14">
        <v>0.21</v>
      </c>
      <c r="L62" s="10" t="s">
        <v>19</v>
      </c>
      <c r="M62" s="10" t="s">
        <v>2</v>
      </c>
      <c r="N62" s="10">
        <v>0</v>
      </c>
      <c r="O62" s="10" t="str">
        <f t="shared" si="0"/>
        <v>Poor</v>
      </c>
      <c r="P62" s="10" t="str">
        <f t="shared" si="1"/>
        <v>Medium</v>
      </c>
    </row>
    <row r="63" spans="1:16" x14ac:dyDescent="0.25">
      <c r="A63" s="9" t="s">
        <v>111</v>
      </c>
      <c r="B63" s="15">
        <v>46002</v>
      </c>
      <c r="C63" s="9">
        <v>26</v>
      </c>
      <c r="D63" s="9" t="s">
        <v>16</v>
      </c>
      <c r="E63" s="16">
        <v>1505240</v>
      </c>
      <c r="F63" s="9">
        <v>334</v>
      </c>
      <c r="G63" s="16">
        <v>154990</v>
      </c>
      <c r="H63" s="17">
        <v>18</v>
      </c>
      <c r="I63" s="9">
        <v>36</v>
      </c>
      <c r="J63" s="9" t="s">
        <v>14</v>
      </c>
      <c r="K63" s="18">
        <v>0.43</v>
      </c>
      <c r="L63" s="9" t="s">
        <v>18</v>
      </c>
      <c r="M63" s="9" t="s">
        <v>2</v>
      </c>
      <c r="N63" s="9">
        <v>0</v>
      </c>
      <c r="O63" s="9" t="str">
        <f t="shared" si="0"/>
        <v>Poor</v>
      </c>
      <c r="P63" s="9" t="str">
        <f t="shared" si="1"/>
        <v>High</v>
      </c>
    </row>
    <row r="64" spans="1:16" x14ac:dyDescent="0.25">
      <c r="A64" s="10" t="s">
        <v>112</v>
      </c>
      <c r="B64" s="11">
        <v>45187</v>
      </c>
      <c r="C64" s="10">
        <v>21</v>
      </c>
      <c r="D64" s="10" t="s">
        <v>9</v>
      </c>
      <c r="E64" s="12">
        <v>286253</v>
      </c>
      <c r="F64" s="10">
        <v>655</v>
      </c>
      <c r="G64" s="12">
        <v>501091</v>
      </c>
      <c r="H64" s="13">
        <v>11</v>
      </c>
      <c r="I64" s="10">
        <v>60</v>
      </c>
      <c r="J64" s="10" t="s">
        <v>9</v>
      </c>
      <c r="K64" s="14">
        <v>0.43</v>
      </c>
      <c r="L64" s="10" t="s">
        <v>21</v>
      </c>
      <c r="M64" s="10" t="s">
        <v>5</v>
      </c>
      <c r="N64" s="10">
        <v>0</v>
      </c>
      <c r="O64" s="10" t="str">
        <f t="shared" si="0"/>
        <v>Fair</v>
      </c>
      <c r="P64" s="10" t="str">
        <f t="shared" si="1"/>
        <v>High</v>
      </c>
    </row>
    <row r="65" spans="1:16" x14ac:dyDescent="0.25">
      <c r="A65" s="9" t="s">
        <v>113</v>
      </c>
      <c r="B65" s="15">
        <v>45656</v>
      </c>
      <c r="C65" s="9">
        <v>59</v>
      </c>
      <c r="D65" s="9" t="s">
        <v>16</v>
      </c>
      <c r="E65" s="16">
        <v>1409519</v>
      </c>
      <c r="F65" s="9">
        <v>375</v>
      </c>
      <c r="G65" s="16">
        <v>1024802</v>
      </c>
      <c r="H65" s="17">
        <v>21</v>
      </c>
      <c r="I65" s="9">
        <v>24</v>
      </c>
      <c r="J65" s="9" t="s">
        <v>14</v>
      </c>
      <c r="K65" s="18">
        <v>0.2</v>
      </c>
      <c r="L65" s="9" t="s">
        <v>19</v>
      </c>
      <c r="M65" s="9" t="s">
        <v>5</v>
      </c>
      <c r="N65" s="9">
        <v>0</v>
      </c>
      <c r="O65" s="9" t="str">
        <f t="shared" si="0"/>
        <v>Poor</v>
      </c>
      <c r="P65" s="9" t="str">
        <f t="shared" si="1"/>
        <v>Medium</v>
      </c>
    </row>
    <row r="66" spans="1:16" x14ac:dyDescent="0.25">
      <c r="A66" s="10" t="s">
        <v>114</v>
      </c>
      <c r="B66" s="11">
        <v>46004</v>
      </c>
      <c r="C66" s="10">
        <v>60</v>
      </c>
      <c r="D66" s="10" t="s">
        <v>17</v>
      </c>
      <c r="E66" s="12">
        <v>952274</v>
      </c>
      <c r="F66" s="10">
        <v>522</v>
      </c>
      <c r="G66" s="12">
        <v>873673</v>
      </c>
      <c r="H66" s="13">
        <v>6</v>
      </c>
      <c r="I66" s="10">
        <v>60</v>
      </c>
      <c r="J66" s="10" t="s">
        <v>9</v>
      </c>
      <c r="K66" s="14">
        <v>0.17</v>
      </c>
      <c r="L66" s="10" t="s">
        <v>19</v>
      </c>
      <c r="M66" s="10" t="s">
        <v>3</v>
      </c>
      <c r="N66" s="10">
        <v>0</v>
      </c>
      <c r="O66" s="10" t="str">
        <f t="shared" ref="O66:O129" si="2">IF(F66&lt;580,"Poor",IF(F66&lt;670,"Fair",IF(F66&lt;740,"Good","Excellent")))</f>
        <v>Poor</v>
      </c>
      <c r="P66" s="10" t="str">
        <f t="shared" ref="P66:P129" si="3">IF(K66&lt;0.2,"Low",IF(K66&lt;0.4,"Medium","High"))</f>
        <v>Low</v>
      </c>
    </row>
    <row r="67" spans="1:16" x14ac:dyDescent="0.25">
      <c r="A67" s="9" t="s">
        <v>115</v>
      </c>
      <c r="B67" s="15">
        <v>44983</v>
      </c>
      <c r="C67" s="9">
        <v>51</v>
      </c>
      <c r="D67" s="9" t="s">
        <v>16</v>
      </c>
      <c r="E67" s="16">
        <v>434805</v>
      </c>
      <c r="F67" s="9">
        <v>819</v>
      </c>
      <c r="G67" s="16">
        <v>847670</v>
      </c>
      <c r="H67" s="17">
        <v>16</v>
      </c>
      <c r="I67" s="9">
        <v>36</v>
      </c>
      <c r="J67" s="9" t="s">
        <v>11</v>
      </c>
      <c r="K67" s="18">
        <v>0.15</v>
      </c>
      <c r="L67" s="9" t="s">
        <v>19</v>
      </c>
      <c r="M67" s="9" t="s">
        <v>3</v>
      </c>
      <c r="N67" s="9">
        <v>0</v>
      </c>
      <c r="O67" s="9" t="str">
        <f t="shared" si="2"/>
        <v>Excellent</v>
      </c>
      <c r="P67" s="9" t="str">
        <f t="shared" si="3"/>
        <v>Low</v>
      </c>
    </row>
    <row r="68" spans="1:16" x14ac:dyDescent="0.25">
      <c r="A68" s="10" t="s">
        <v>116</v>
      </c>
      <c r="B68" s="11">
        <v>45068</v>
      </c>
      <c r="C68" s="10">
        <v>61</v>
      </c>
      <c r="D68" s="10" t="s">
        <v>9</v>
      </c>
      <c r="E68" s="12">
        <v>445108</v>
      </c>
      <c r="F68" s="10">
        <v>634</v>
      </c>
      <c r="G68" s="12">
        <v>198814</v>
      </c>
      <c r="H68" s="13">
        <v>15</v>
      </c>
      <c r="I68" s="10">
        <v>60</v>
      </c>
      <c r="J68" s="10" t="s">
        <v>9</v>
      </c>
      <c r="K68" s="14">
        <v>0.43</v>
      </c>
      <c r="L68" s="10" t="s">
        <v>19</v>
      </c>
      <c r="M68" s="10" t="s">
        <v>4</v>
      </c>
      <c r="N68" s="10">
        <v>0</v>
      </c>
      <c r="O68" s="10" t="str">
        <f t="shared" si="2"/>
        <v>Fair</v>
      </c>
      <c r="P68" s="10" t="str">
        <f t="shared" si="3"/>
        <v>High</v>
      </c>
    </row>
    <row r="69" spans="1:16" x14ac:dyDescent="0.25">
      <c r="A69" s="9" t="s">
        <v>117</v>
      </c>
      <c r="B69" s="15">
        <v>45361</v>
      </c>
      <c r="C69" s="9">
        <v>21</v>
      </c>
      <c r="D69" s="9" t="s">
        <v>9</v>
      </c>
      <c r="E69" s="16">
        <v>1482456</v>
      </c>
      <c r="F69" s="9">
        <v>458</v>
      </c>
      <c r="G69" s="16">
        <v>978840</v>
      </c>
      <c r="H69" s="17">
        <v>13</v>
      </c>
      <c r="I69" s="9">
        <v>60</v>
      </c>
      <c r="J69" s="9" t="s">
        <v>10</v>
      </c>
      <c r="K69" s="18">
        <v>0.28000000000000003</v>
      </c>
      <c r="L69" s="9" t="s">
        <v>19</v>
      </c>
      <c r="M69" s="9" t="s">
        <v>4</v>
      </c>
      <c r="N69" s="9">
        <v>0</v>
      </c>
      <c r="O69" s="9" t="str">
        <f t="shared" si="2"/>
        <v>Poor</v>
      </c>
      <c r="P69" s="9" t="str">
        <f t="shared" si="3"/>
        <v>Medium</v>
      </c>
    </row>
    <row r="70" spans="1:16" x14ac:dyDescent="0.25">
      <c r="A70" s="10" t="s">
        <v>118</v>
      </c>
      <c r="B70" s="11">
        <v>45397</v>
      </c>
      <c r="C70" s="10">
        <v>22</v>
      </c>
      <c r="D70" s="10" t="s">
        <v>9</v>
      </c>
      <c r="E70" s="12">
        <v>1507106</v>
      </c>
      <c r="F70" s="10">
        <v>314</v>
      </c>
      <c r="G70" s="12">
        <v>1535126</v>
      </c>
      <c r="H70" s="13">
        <v>6</v>
      </c>
      <c r="I70" s="10">
        <v>24</v>
      </c>
      <c r="J70" s="10" t="s">
        <v>12</v>
      </c>
      <c r="K70" s="14">
        <v>0.45</v>
      </c>
      <c r="L70" s="10" t="s">
        <v>19</v>
      </c>
      <c r="M70" s="10" t="s">
        <v>3</v>
      </c>
      <c r="N70" s="10">
        <v>1</v>
      </c>
      <c r="O70" s="10" t="str">
        <f t="shared" si="2"/>
        <v>Poor</v>
      </c>
      <c r="P70" s="10" t="str">
        <f t="shared" si="3"/>
        <v>High</v>
      </c>
    </row>
    <row r="71" spans="1:16" x14ac:dyDescent="0.25">
      <c r="A71" s="9" t="s">
        <v>119</v>
      </c>
      <c r="B71" s="15">
        <v>46019</v>
      </c>
      <c r="C71" s="9">
        <v>32</v>
      </c>
      <c r="D71" s="9" t="s">
        <v>9</v>
      </c>
      <c r="E71" s="16">
        <v>1629175</v>
      </c>
      <c r="F71" s="9">
        <v>315</v>
      </c>
      <c r="G71" s="16">
        <v>1859731</v>
      </c>
      <c r="H71" s="17">
        <v>7</v>
      </c>
      <c r="I71" s="9">
        <v>36</v>
      </c>
      <c r="J71" s="9" t="s">
        <v>10</v>
      </c>
      <c r="K71" s="18">
        <v>0.27</v>
      </c>
      <c r="L71" s="9" t="s">
        <v>18</v>
      </c>
      <c r="M71" s="9" t="s">
        <v>2</v>
      </c>
      <c r="N71" s="9">
        <v>0</v>
      </c>
      <c r="O71" s="9" t="str">
        <f t="shared" si="2"/>
        <v>Poor</v>
      </c>
      <c r="P71" s="9" t="str">
        <f t="shared" si="3"/>
        <v>Medium</v>
      </c>
    </row>
    <row r="72" spans="1:16" x14ac:dyDescent="0.25">
      <c r="A72" s="10" t="s">
        <v>120</v>
      </c>
      <c r="B72" s="11">
        <v>45765</v>
      </c>
      <c r="C72" s="10">
        <v>49</v>
      </c>
      <c r="D72" s="10" t="s">
        <v>9</v>
      </c>
      <c r="E72" s="12">
        <v>2059982</v>
      </c>
      <c r="F72" s="10">
        <v>464</v>
      </c>
      <c r="G72" s="12">
        <v>579298</v>
      </c>
      <c r="H72" s="13">
        <v>10</v>
      </c>
      <c r="I72" s="10">
        <v>36</v>
      </c>
      <c r="J72" s="10" t="s">
        <v>10</v>
      </c>
      <c r="K72" s="14">
        <v>0.34</v>
      </c>
      <c r="L72" s="10" t="s">
        <v>20</v>
      </c>
      <c r="M72" s="10" t="s">
        <v>5</v>
      </c>
      <c r="N72" s="10">
        <v>1</v>
      </c>
      <c r="O72" s="10" t="str">
        <f t="shared" si="2"/>
        <v>Poor</v>
      </c>
      <c r="P72" s="10" t="str">
        <f t="shared" si="3"/>
        <v>Medium</v>
      </c>
    </row>
    <row r="73" spans="1:16" x14ac:dyDescent="0.25">
      <c r="A73" s="9" t="s">
        <v>121</v>
      </c>
      <c r="B73" s="15">
        <v>45096</v>
      </c>
      <c r="C73" s="9">
        <v>57</v>
      </c>
      <c r="D73" s="9" t="s">
        <v>17</v>
      </c>
      <c r="E73" s="16">
        <v>1489166</v>
      </c>
      <c r="F73" s="9">
        <v>725</v>
      </c>
      <c r="G73" s="16">
        <v>390225</v>
      </c>
      <c r="H73" s="17">
        <v>19</v>
      </c>
      <c r="I73" s="9">
        <v>60</v>
      </c>
      <c r="J73" s="9" t="s">
        <v>9</v>
      </c>
      <c r="K73" s="18">
        <v>0.4</v>
      </c>
      <c r="L73" s="9" t="s">
        <v>18</v>
      </c>
      <c r="M73" s="9" t="s">
        <v>3</v>
      </c>
      <c r="N73" s="9">
        <v>1</v>
      </c>
      <c r="O73" s="9" t="str">
        <f t="shared" si="2"/>
        <v>Good</v>
      </c>
      <c r="P73" s="9" t="str">
        <f t="shared" si="3"/>
        <v>High</v>
      </c>
    </row>
    <row r="74" spans="1:16" x14ac:dyDescent="0.25">
      <c r="A74" s="10" t="s">
        <v>122</v>
      </c>
      <c r="B74" s="11">
        <v>45124</v>
      </c>
      <c r="C74" s="10">
        <v>41</v>
      </c>
      <c r="D74" s="10" t="s">
        <v>16</v>
      </c>
      <c r="E74" s="12">
        <v>768118</v>
      </c>
      <c r="F74" s="10">
        <v>300</v>
      </c>
      <c r="G74" s="12">
        <v>822722</v>
      </c>
      <c r="H74" s="13">
        <v>20</v>
      </c>
      <c r="I74" s="10">
        <v>24</v>
      </c>
      <c r="J74" s="10" t="s">
        <v>13</v>
      </c>
      <c r="K74" s="14">
        <v>0.52</v>
      </c>
      <c r="L74" s="10" t="s">
        <v>19</v>
      </c>
      <c r="M74" s="10" t="s">
        <v>4</v>
      </c>
      <c r="N74" s="10">
        <v>0</v>
      </c>
      <c r="O74" s="10" t="str">
        <f t="shared" si="2"/>
        <v>Poor</v>
      </c>
      <c r="P74" s="10" t="str">
        <f t="shared" si="3"/>
        <v>High</v>
      </c>
    </row>
    <row r="75" spans="1:16" x14ac:dyDescent="0.25">
      <c r="A75" s="9" t="s">
        <v>123</v>
      </c>
      <c r="B75" s="15">
        <v>45906</v>
      </c>
      <c r="C75" s="9">
        <v>33</v>
      </c>
      <c r="D75" s="9" t="s">
        <v>17</v>
      </c>
      <c r="E75" s="16">
        <v>2273055</v>
      </c>
      <c r="F75" s="9">
        <v>437</v>
      </c>
      <c r="G75" s="16">
        <v>1856507</v>
      </c>
      <c r="H75" s="17">
        <v>6</v>
      </c>
      <c r="I75" s="9">
        <v>60</v>
      </c>
      <c r="J75" s="9" t="s">
        <v>12</v>
      </c>
      <c r="K75" s="18">
        <v>0.6</v>
      </c>
      <c r="L75" s="9" t="s">
        <v>21</v>
      </c>
      <c r="M75" s="9" t="s">
        <v>5</v>
      </c>
      <c r="N75" s="9">
        <v>1</v>
      </c>
      <c r="O75" s="9" t="str">
        <f t="shared" si="2"/>
        <v>Poor</v>
      </c>
      <c r="P75" s="9" t="str">
        <f t="shared" si="3"/>
        <v>High</v>
      </c>
    </row>
    <row r="76" spans="1:16" x14ac:dyDescent="0.25">
      <c r="A76" s="10" t="s">
        <v>124</v>
      </c>
      <c r="B76" s="11">
        <v>44951</v>
      </c>
      <c r="C76" s="10">
        <v>56</v>
      </c>
      <c r="D76" s="10" t="s">
        <v>16</v>
      </c>
      <c r="E76" s="12">
        <v>1598165</v>
      </c>
      <c r="F76" s="10">
        <v>383</v>
      </c>
      <c r="G76" s="12">
        <v>581180</v>
      </c>
      <c r="H76" s="13">
        <v>15</v>
      </c>
      <c r="I76" s="10">
        <v>36</v>
      </c>
      <c r="J76" s="10" t="s">
        <v>11</v>
      </c>
      <c r="K76" s="14">
        <v>0.18</v>
      </c>
      <c r="L76" s="10" t="s">
        <v>22</v>
      </c>
      <c r="M76" s="10" t="s">
        <v>4</v>
      </c>
      <c r="N76" s="10">
        <v>0</v>
      </c>
      <c r="O76" s="10" t="str">
        <f t="shared" si="2"/>
        <v>Poor</v>
      </c>
      <c r="P76" s="10" t="str">
        <f t="shared" si="3"/>
        <v>Low</v>
      </c>
    </row>
    <row r="77" spans="1:16" x14ac:dyDescent="0.25">
      <c r="A77" s="9" t="s">
        <v>125</v>
      </c>
      <c r="B77" s="15">
        <v>45006</v>
      </c>
      <c r="C77" s="9">
        <v>52</v>
      </c>
      <c r="D77" s="9" t="s">
        <v>9</v>
      </c>
      <c r="E77" s="16">
        <v>1531587</v>
      </c>
      <c r="F77" s="9">
        <v>352</v>
      </c>
      <c r="G77" s="16">
        <v>1741386</v>
      </c>
      <c r="H77" s="17">
        <v>18</v>
      </c>
      <c r="I77" s="9">
        <v>12</v>
      </c>
      <c r="J77" s="9" t="s">
        <v>12</v>
      </c>
      <c r="K77" s="18">
        <v>0.14000000000000001</v>
      </c>
      <c r="L77" s="9" t="s">
        <v>20</v>
      </c>
      <c r="M77" s="9" t="s">
        <v>5</v>
      </c>
      <c r="N77" s="9">
        <v>1</v>
      </c>
      <c r="O77" s="9" t="str">
        <f t="shared" si="2"/>
        <v>Poor</v>
      </c>
      <c r="P77" s="9" t="str">
        <f t="shared" si="3"/>
        <v>Low</v>
      </c>
    </row>
    <row r="78" spans="1:16" x14ac:dyDescent="0.25">
      <c r="A78" s="10" t="s">
        <v>126</v>
      </c>
      <c r="B78" s="11">
        <v>45163</v>
      </c>
      <c r="C78" s="10">
        <v>40</v>
      </c>
      <c r="D78" s="10" t="s">
        <v>9</v>
      </c>
      <c r="E78" s="12">
        <v>1510983</v>
      </c>
      <c r="F78" s="10">
        <v>401</v>
      </c>
      <c r="G78" s="12">
        <v>203549</v>
      </c>
      <c r="H78" s="13">
        <v>22</v>
      </c>
      <c r="I78" s="10">
        <v>12</v>
      </c>
      <c r="J78" s="10" t="s">
        <v>10</v>
      </c>
      <c r="K78" s="14">
        <v>0.49</v>
      </c>
      <c r="L78" s="10" t="s">
        <v>21</v>
      </c>
      <c r="M78" s="10" t="s">
        <v>5</v>
      </c>
      <c r="N78" s="10">
        <v>0</v>
      </c>
      <c r="O78" s="10" t="str">
        <f t="shared" si="2"/>
        <v>Poor</v>
      </c>
      <c r="P78" s="10" t="str">
        <f t="shared" si="3"/>
        <v>High</v>
      </c>
    </row>
    <row r="79" spans="1:16" x14ac:dyDescent="0.25">
      <c r="A79" s="9" t="s">
        <v>127</v>
      </c>
      <c r="B79" s="15">
        <v>45950</v>
      </c>
      <c r="C79" s="9">
        <v>28</v>
      </c>
      <c r="D79" s="9" t="s">
        <v>17</v>
      </c>
      <c r="E79" s="16">
        <v>2301203</v>
      </c>
      <c r="F79" s="9">
        <v>332</v>
      </c>
      <c r="G79" s="16">
        <v>415041</v>
      </c>
      <c r="H79" s="17">
        <v>10</v>
      </c>
      <c r="I79" s="9">
        <v>12</v>
      </c>
      <c r="J79" s="9" t="s">
        <v>12</v>
      </c>
      <c r="K79" s="18">
        <v>0.17</v>
      </c>
      <c r="L79" s="9" t="s">
        <v>20</v>
      </c>
      <c r="M79" s="9" t="s">
        <v>4</v>
      </c>
      <c r="N79" s="9">
        <v>1</v>
      </c>
      <c r="O79" s="9" t="str">
        <f t="shared" si="2"/>
        <v>Poor</v>
      </c>
      <c r="P79" s="9" t="str">
        <f t="shared" si="3"/>
        <v>Low</v>
      </c>
    </row>
    <row r="80" spans="1:16" x14ac:dyDescent="0.25">
      <c r="A80" s="10" t="s">
        <v>128</v>
      </c>
      <c r="B80" s="11">
        <v>45092</v>
      </c>
      <c r="C80" s="10">
        <v>52</v>
      </c>
      <c r="D80" s="10" t="s">
        <v>16</v>
      </c>
      <c r="E80" s="12">
        <v>1121216</v>
      </c>
      <c r="F80" s="10">
        <v>477</v>
      </c>
      <c r="G80" s="12">
        <v>447118</v>
      </c>
      <c r="H80" s="13">
        <v>19</v>
      </c>
      <c r="I80" s="10">
        <v>60</v>
      </c>
      <c r="J80" s="10" t="s">
        <v>9</v>
      </c>
      <c r="K80" s="14">
        <v>0.3</v>
      </c>
      <c r="L80" s="10" t="s">
        <v>21</v>
      </c>
      <c r="M80" s="10" t="s">
        <v>5</v>
      </c>
      <c r="N80" s="10">
        <v>0</v>
      </c>
      <c r="O80" s="10" t="str">
        <f t="shared" si="2"/>
        <v>Poor</v>
      </c>
      <c r="P80" s="10" t="str">
        <f t="shared" si="3"/>
        <v>Medium</v>
      </c>
    </row>
    <row r="81" spans="1:16" x14ac:dyDescent="0.25">
      <c r="A81" s="9" t="s">
        <v>129</v>
      </c>
      <c r="B81" s="15">
        <v>45446</v>
      </c>
      <c r="C81" s="9">
        <v>58</v>
      </c>
      <c r="D81" s="9" t="s">
        <v>16</v>
      </c>
      <c r="E81" s="16">
        <v>1742485</v>
      </c>
      <c r="F81" s="9">
        <v>723</v>
      </c>
      <c r="G81" s="16">
        <v>1554785</v>
      </c>
      <c r="H81" s="17">
        <v>24</v>
      </c>
      <c r="I81" s="9">
        <v>12</v>
      </c>
      <c r="J81" s="9" t="s">
        <v>9</v>
      </c>
      <c r="K81" s="18">
        <v>0.26</v>
      </c>
      <c r="L81" s="9" t="s">
        <v>20</v>
      </c>
      <c r="M81" s="9" t="s">
        <v>3</v>
      </c>
      <c r="N81" s="9">
        <v>0</v>
      </c>
      <c r="O81" s="9" t="str">
        <f t="shared" si="2"/>
        <v>Good</v>
      </c>
      <c r="P81" s="9" t="str">
        <f t="shared" si="3"/>
        <v>Medium</v>
      </c>
    </row>
    <row r="82" spans="1:16" x14ac:dyDescent="0.25">
      <c r="A82" s="10" t="s">
        <v>130</v>
      </c>
      <c r="B82" s="11">
        <v>45048</v>
      </c>
      <c r="C82" s="10">
        <v>49</v>
      </c>
      <c r="D82" s="10" t="s">
        <v>16</v>
      </c>
      <c r="E82" s="12">
        <v>1004005</v>
      </c>
      <c r="F82" s="10">
        <v>620</v>
      </c>
      <c r="G82" s="12">
        <v>1336833</v>
      </c>
      <c r="H82" s="13">
        <v>22</v>
      </c>
      <c r="I82" s="10">
        <v>24</v>
      </c>
      <c r="J82" s="10" t="s">
        <v>13</v>
      </c>
      <c r="K82" s="14">
        <v>0.42</v>
      </c>
      <c r="L82" s="10" t="s">
        <v>18</v>
      </c>
      <c r="M82" s="10" t="s">
        <v>3</v>
      </c>
      <c r="N82" s="10">
        <v>0</v>
      </c>
      <c r="O82" s="10" t="str">
        <f t="shared" si="2"/>
        <v>Fair</v>
      </c>
      <c r="P82" s="10" t="str">
        <f t="shared" si="3"/>
        <v>High</v>
      </c>
    </row>
    <row r="83" spans="1:16" x14ac:dyDescent="0.25">
      <c r="A83" s="9" t="s">
        <v>131</v>
      </c>
      <c r="B83" s="15">
        <v>45991</v>
      </c>
      <c r="C83" s="9">
        <v>25</v>
      </c>
      <c r="D83" s="9" t="s">
        <v>9</v>
      </c>
      <c r="E83" s="16">
        <v>1477249</v>
      </c>
      <c r="F83" s="9">
        <v>388</v>
      </c>
      <c r="G83" s="16">
        <v>1564914</v>
      </c>
      <c r="H83" s="17">
        <v>22</v>
      </c>
      <c r="I83" s="9">
        <v>12</v>
      </c>
      <c r="J83" s="9" t="s">
        <v>10</v>
      </c>
      <c r="K83" s="18">
        <v>0.2</v>
      </c>
      <c r="L83" s="9" t="s">
        <v>18</v>
      </c>
      <c r="M83" s="9" t="s">
        <v>4</v>
      </c>
      <c r="N83" s="9">
        <v>1</v>
      </c>
      <c r="O83" s="9" t="str">
        <f t="shared" si="2"/>
        <v>Poor</v>
      </c>
      <c r="P83" s="9" t="str">
        <f t="shared" si="3"/>
        <v>Medium</v>
      </c>
    </row>
    <row r="84" spans="1:16" x14ac:dyDescent="0.25">
      <c r="A84" s="10" t="s">
        <v>132</v>
      </c>
      <c r="B84" s="11">
        <v>45736</v>
      </c>
      <c r="C84" s="10">
        <v>56</v>
      </c>
      <c r="D84" s="10" t="s">
        <v>9</v>
      </c>
      <c r="E84" s="12">
        <v>337587</v>
      </c>
      <c r="F84" s="10">
        <v>645</v>
      </c>
      <c r="G84" s="12">
        <v>1352906</v>
      </c>
      <c r="H84" s="13">
        <v>20</v>
      </c>
      <c r="I84" s="10">
        <v>24</v>
      </c>
      <c r="J84" s="10" t="s">
        <v>14</v>
      </c>
      <c r="K84" s="14">
        <v>0.13</v>
      </c>
      <c r="L84" s="10" t="s">
        <v>20</v>
      </c>
      <c r="M84" s="10" t="s">
        <v>2</v>
      </c>
      <c r="N84" s="10">
        <v>0</v>
      </c>
      <c r="O84" s="10" t="str">
        <f t="shared" si="2"/>
        <v>Fair</v>
      </c>
      <c r="P84" s="10" t="str">
        <f t="shared" si="3"/>
        <v>Low</v>
      </c>
    </row>
    <row r="85" spans="1:16" x14ac:dyDescent="0.25">
      <c r="A85" s="9" t="s">
        <v>133</v>
      </c>
      <c r="B85" s="15">
        <v>45209</v>
      </c>
      <c r="C85" s="9">
        <v>56</v>
      </c>
      <c r="D85" s="9" t="s">
        <v>16</v>
      </c>
      <c r="E85" s="16">
        <v>1339738</v>
      </c>
      <c r="F85" s="9">
        <v>743</v>
      </c>
      <c r="G85" s="16">
        <v>1663523</v>
      </c>
      <c r="H85" s="17">
        <v>11</v>
      </c>
      <c r="I85" s="9">
        <v>60</v>
      </c>
      <c r="J85" s="9" t="s">
        <v>9</v>
      </c>
      <c r="K85" s="18">
        <v>0.4</v>
      </c>
      <c r="L85" s="9" t="s">
        <v>22</v>
      </c>
      <c r="M85" s="9" t="s">
        <v>2</v>
      </c>
      <c r="N85" s="9">
        <v>0</v>
      </c>
      <c r="O85" s="9" t="str">
        <f t="shared" si="2"/>
        <v>Excellent</v>
      </c>
      <c r="P85" s="9" t="str">
        <f t="shared" si="3"/>
        <v>High</v>
      </c>
    </row>
    <row r="86" spans="1:16" x14ac:dyDescent="0.25">
      <c r="A86" s="10" t="s">
        <v>134</v>
      </c>
      <c r="B86" s="11">
        <v>45788</v>
      </c>
      <c r="C86" s="10">
        <v>57</v>
      </c>
      <c r="D86" s="10" t="s">
        <v>17</v>
      </c>
      <c r="E86" s="12">
        <v>2114527</v>
      </c>
      <c r="F86" s="10">
        <v>778</v>
      </c>
      <c r="G86" s="12">
        <v>1279039</v>
      </c>
      <c r="H86" s="13">
        <v>11</v>
      </c>
      <c r="I86" s="10">
        <v>36</v>
      </c>
      <c r="J86" s="10" t="s">
        <v>13</v>
      </c>
      <c r="K86" s="14">
        <v>0.4</v>
      </c>
      <c r="L86" s="10" t="s">
        <v>22</v>
      </c>
      <c r="M86" s="10" t="s">
        <v>3</v>
      </c>
      <c r="N86" s="10">
        <v>0</v>
      </c>
      <c r="O86" s="10" t="str">
        <f t="shared" si="2"/>
        <v>Excellent</v>
      </c>
      <c r="P86" s="10" t="str">
        <f t="shared" si="3"/>
        <v>High</v>
      </c>
    </row>
    <row r="87" spans="1:16" x14ac:dyDescent="0.25">
      <c r="A87" s="9" t="s">
        <v>135</v>
      </c>
      <c r="B87" s="15">
        <v>45237</v>
      </c>
      <c r="C87" s="9">
        <v>21</v>
      </c>
      <c r="D87" s="9" t="s">
        <v>9</v>
      </c>
      <c r="E87" s="16">
        <v>1383708</v>
      </c>
      <c r="F87" s="9">
        <v>522</v>
      </c>
      <c r="G87" s="16">
        <v>1756188</v>
      </c>
      <c r="H87" s="17">
        <v>8</v>
      </c>
      <c r="I87" s="9">
        <v>36</v>
      </c>
      <c r="J87" s="9" t="s">
        <v>12</v>
      </c>
      <c r="K87" s="18">
        <v>0.11</v>
      </c>
      <c r="L87" s="9" t="s">
        <v>18</v>
      </c>
      <c r="M87" s="9" t="s">
        <v>3</v>
      </c>
      <c r="N87" s="9">
        <v>1</v>
      </c>
      <c r="O87" s="9" t="str">
        <f t="shared" si="2"/>
        <v>Poor</v>
      </c>
      <c r="P87" s="9" t="str">
        <f t="shared" si="3"/>
        <v>Low</v>
      </c>
    </row>
    <row r="88" spans="1:16" x14ac:dyDescent="0.25">
      <c r="A88" s="10" t="s">
        <v>136</v>
      </c>
      <c r="B88" s="11">
        <v>45586</v>
      </c>
      <c r="C88" s="10">
        <v>57</v>
      </c>
      <c r="D88" s="10" t="s">
        <v>16</v>
      </c>
      <c r="E88" s="12">
        <v>681407</v>
      </c>
      <c r="F88" s="10">
        <v>500</v>
      </c>
      <c r="G88" s="12">
        <v>1143547</v>
      </c>
      <c r="H88" s="13">
        <v>7</v>
      </c>
      <c r="I88" s="10">
        <v>60</v>
      </c>
      <c r="J88" s="10" t="s">
        <v>14</v>
      </c>
      <c r="K88" s="14">
        <v>0.15</v>
      </c>
      <c r="L88" s="10" t="s">
        <v>20</v>
      </c>
      <c r="M88" s="10" t="s">
        <v>4</v>
      </c>
      <c r="N88" s="10">
        <v>0</v>
      </c>
      <c r="O88" s="10" t="str">
        <f t="shared" si="2"/>
        <v>Poor</v>
      </c>
      <c r="P88" s="10" t="str">
        <f t="shared" si="3"/>
        <v>Low</v>
      </c>
    </row>
    <row r="89" spans="1:16" x14ac:dyDescent="0.25">
      <c r="A89" s="9" t="s">
        <v>137</v>
      </c>
      <c r="B89" s="15">
        <v>45833</v>
      </c>
      <c r="C89" s="9">
        <v>58</v>
      </c>
      <c r="D89" s="9" t="s">
        <v>9</v>
      </c>
      <c r="E89" s="16">
        <v>1861836</v>
      </c>
      <c r="F89" s="9">
        <v>797</v>
      </c>
      <c r="G89" s="16">
        <v>1732743</v>
      </c>
      <c r="H89" s="17">
        <v>12</v>
      </c>
      <c r="I89" s="9">
        <v>12</v>
      </c>
      <c r="J89" s="9" t="s">
        <v>9</v>
      </c>
      <c r="K89" s="18">
        <v>0.45</v>
      </c>
      <c r="L89" s="9" t="s">
        <v>21</v>
      </c>
      <c r="M89" s="9" t="s">
        <v>4</v>
      </c>
      <c r="N89" s="9">
        <v>0</v>
      </c>
      <c r="O89" s="9" t="str">
        <f t="shared" si="2"/>
        <v>Excellent</v>
      </c>
      <c r="P89" s="9" t="str">
        <f t="shared" si="3"/>
        <v>High</v>
      </c>
    </row>
    <row r="90" spans="1:16" x14ac:dyDescent="0.25">
      <c r="A90" s="10" t="s">
        <v>138</v>
      </c>
      <c r="B90" s="11">
        <v>45224</v>
      </c>
      <c r="C90" s="10">
        <v>60</v>
      </c>
      <c r="D90" s="10" t="s">
        <v>17</v>
      </c>
      <c r="E90" s="12">
        <v>1523120</v>
      </c>
      <c r="F90" s="10">
        <v>468</v>
      </c>
      <c r="G90" s="12">
        <v>1420629</v>
      </c>
      <c r="H90" s="13">
        <v>13</v>
      </c>
      <c r="I90" s="10">
        <v>24</v>
      </c>
      <c r="J90" s="10" t="s">
        <v>13</v>
      </c>
      <c r="K90" s="14">
        <v>0.55000000000000004</v>
      </c>
      <c r="L90" s="10" t="s">
        <v>22</v>
      </c>
      <c r="M90" s="10" t="s">
        <v>3</v>
      </c>
      <c r="N90" s="10">
        <v>0</v>
      </c>
      <c r="O90" s="10" t="str">
        <f t="shared" si="2"/>
        <v>Poor</v>
      </c>
      <c r="P90" s="10" t="str">
        <f t="shared" si="3"/>
        <v>High</v>
      </c>
    </row>
    <row r="91" spans="1:16" x14ac:dyDescent="0.25">
      <c r="A91" s="9" t="s">
        <v>139</v>
      </c>
      <c r="B91" s="15">
        <v>45435</v>
      </c>
      <c r="C91" s="9">
        <v>57</v>
      </c>
      <c r="D91" s="9" t="s">
        <v>16</v>
      </c>
      <c r="E91" s="16">
        <v>1722492</v>
      </c>
      <c r="F91" s="9">
        <v>314</v>
      </c>
      <c r="G91" s="16">
        <v>241242</v>
      </c>
      <c r="H91" s="17">
        <v>12</v>
      </c>
      <c r="I91" s="9">
        <v>60</v>
      </c>
      <c r="J91" s="9" t="s">
        <v>11</v>
      </c>
      <c r="K91" s="18">
        <v>0.5</v>
      </c>
      <c r="L91" s="9" t="s">
        <v>20</v>
      </c>
      <c r="M91" s="9" t="s">
        <v>5</v>
      </c>
      <c r="N91" s="9">
        <v>1</v>
      </c>
      <c r="O91" s="9" t="str">
        <f t="shared" si="2"/>
        <v>Poor</v>
      </c>
      <c r="P91" s="9" t="str">
        <f t="shared" si="3"/>
        <v>High</v>
      </c>
    </row>
    <row r="92" spans="1:16" x14ac:dyDescent="0.25">
      <c r="A92" s="10" t="s">
        <v>140</v>
      </c>
      <c r="B92" s="11">
        <v>45455</v>
      </c>
      <c r="C92" s="10">
        <v>48</v>
      </c>
      <c r="D92" s="10" t="s">
        <v>9</v>
      </c>
      <c r="E92" s="12">
        <v>983232</v>
      </c>
      <c r="F92" s="10">
        <v>336</v>
      </c>
      <c r="G92" s="12">
        <v>1628530</v>
      </c>
      <c r="H92" s="13">
        <v>18</v>
      </c>
      <c r="I92" s="10">
        <v>24</v>
      </c>
      <c r="J92" s="10" t="s">
        <v>10</v>
      </c>
      <c r="K92" s="14">
        <v>0.16</v>
      </c>
      <c r="L92" s="10" t="s">
        <v>20</v>
      </c>
      <c r="M92" s="10" t="s">
        <v>3</v>
      </c>
      <c r="N92" s="10">
        <v>1</v>
      </c>
      <c r="O92" s="10" t="str">
        <f t="shared" si="2"/>
        <v>Poor</v>
      </c>
      <c r="P92" s="10" t="str">
        <f t="shared" si="3"/>
        <v>Low</v>
      </c>
    </row>
    <row r="93" spans="1:16" x14ac:dyDescent="0.25">
      <c r="A93" s="9" t="s">
        <v>141</v>
      </c>
      <c r="B93" s="15">
        <v>45084</v>
      </c>
      <c r="C93" s="9">
        <v>32</v>
      </c>
      <c r="D93" s="9" t="s">
        <v>9</v>
      </c>
      <c r="E93" s="16">
        <v>2036387</v>
      </c>
      <c r="F93" s="9">
        <v>666</v>
      </c>
      <c r="G93" s="16">
        <v>998991</v>
      </c>
      <c r="H93" s="17">
        <v>11</v>
      </c>
      <c r="I93" s="9">
        <v>60</v>
      </c>
      <c r="J93" s="9" t="s">
        <v>11</v>
      </c>
      <c r="K93" s="18">
        <v>0.6</v>
      </c>
      <c r="L93" s="9" t="s">
        <v>20</v>
      </c>
      <c r="M93" s="9" t="s">
        <v>4</v>
      </c>
      <c r="N93" s="9">
        <v>0</v>
      </c>
      <c r="O93" s="9" t="str">
        <f t="shared" si="2"/>
        <v>Fair</v>
      </c>
      <c r="P93" s="9" t="str">
        <f t="shared" si="3"/>
        <v>High</v>
      </c>
    </row>
    <row r="94" spans="1:16" x14ac:dyDescent="0.25">
      <c r="A94" s="10" t="s">
        <v>142</v>
      </c>
      <c r="B94" s="11">
        <v>45030</v>
      </c>
      <c r="C94" s="10">
        <v>51</v>
      </c>
      <c r="D94" s="10" t="s">
        <v>16</v>
      </c>
      <c r="E94" s="12">
        <v>538643</v>
      </c>
      <c r="F94" s="10">
        <v>478</v>
      </c>
      <c r="G94" s="12">
        <v>453976</v>
      </c>
      <c r="H94" s="13">
        <v>23</v>
      </c>
      <c r="I94" s="10">
        <v>12</v>
      </c>
      <c r="J94" s="10" t="s">
        <v>11</v>
      </c>
      <c r="K94" s="14">
        <v>0.56999999999999995</v>
      </c>
      <c r="L94" s="10" t="s">
        <v>18</v>
      </c>
      <c r="M94" s="10" t="s">
        <v>4</v>
      </c>
      <c r="N94" s="10">
        <v>0</v>
      </c>
      <c r="O94" s="10" t="str">
        <f t="shared" si="2"/>
        <v>Poor</v>
      </c>
      <c r="P94" s="10" t="str">
        <f t="shared" si="3"/>
        <v>High</v>
      </c>
    </row>
    <row r="95" spans="1:16" x14ac:dyDescent="0.25">
      <c r="A95" s="9" t="s">
        <v>143</v>
      </c>
      <c r="B95" s="15">
        <v>45771</v>
      </c>
      <c r="C95" s="9">
        <v>27</v>
      </c>
      <c r="D95" s="9" t="s">
        <v>9</v>
      </c>
      <c r="E95" s="16">
        <v>1388697</v>
      </c>
      <c r="F95" s="9">
        <v>817</v>
      </c>
      <c r="G95" s="16">
        <v>753210</v>
      </c>
      <c r="H95" s="17">
        <v>22</v>
      </c>
      <c r="I95" s="9">
        <v>24</v>
      </c>
      <c r="J95" s="9" t="s">
        <v>11</v>
      </c>
      <c r="K95" s="18">
        <v>0.59</v>
      </c>
      <c r="L95" s="9" t="s">
        <v>20</v>
      </c>
      <c r="M95" s="9" t="s">
        <v>2</v>
      </c>
      <c r="N95" s="9">
        <v>0</v>
      </c>
      <c r="O95" s="9" t="str">
        <f t="shared" si="2"/>
        <v>Excellent</v>
      </c>
      <c r="P95" s="9" t="str">
        <f t="shared" si="3"/>
        <v>High</v>
      </c>
    </row>
    <row r="96" spans="1:16" x14ac:dyDescent="0.25">
      <c r="A96" s="10" t="s">
        <v>144</v>
      </c>
      <c r="B96" s="11">
        <v>45827</v>
      </c>
      <c r="C96" s="10">
        <v>31</v>
      </c>
      <c r="D96" s="10" t="s">
        <v>9</v>
      </c>
      <c r="E96" s="12">
        <v>1189026</v>
      </c>
      <c r="F96" s="10">
        <v>762</v>
      </c>
      <c r="G96" s="12">
        <v>176375</v>
      </c>
      <c r="H96" s="13">
        <v>6</v>
      </c>
      <c r="I96" s="10">
        <v>36</v>
      </c>
      <c r="J96" s="10" t="s">
        <v>11</v>
      </c>
      <c r="K96" s="14">
        <v>0.56000000000000005</v>
      </c>
      <c r="L96" s="10" t="s">
        <v>21</v>
      </c>
      <c r="M96" s="10" t="s">
        <v>3</v>
      </c>
      <c r="N96" s="10">
        <v>0</v>
      </c>
      <c r="O96" s="10" t="str">
        <f t="shared" si="2"/>
        <v>Excellent</v>
      </c>
      <c r="P96" s="10" t="str">
        <f t="shared" si="3"/>
        <v>High</v>
      </c>
    </row>
    <row r="97" spans="1:16" x14ac:dyDescent="0.25">
      <c r="A97" s="9" t="s">
        <v>145</v>
      </c>
      <c r="B97" s="15">
        <v>45843</v>
      </c>
      <c r="C97" s="9">
        <v>43</v>
      </c>
      <c r="D97" s="9" t="s">
        <v>16</v>
      </c>
      <c r="E97" s="16">
        <v>1584743</v>
      </c>
      <c r="F97" s="9">
        <v>603</v>
      </c>
      <c r="G97" s="16">
        <v>1694781</v>
      </c>
      <c r="H97" s="17">
        <v>13</v>
      </c>
      <c r="I97" s="9">
        <v>24</v>
      </c>
      <c r="J97" s="9" t="s">
        <v>14</v>
      </c>
      <c r="K97" s="18">
        <v>0.12</v>
      </c>
      <c r="L97" s="9" t="s">
        <v>22</v>
      </c>
      <c r="M97" s="9" t="s">
        <v>4</v>
      </c>
      <c r="N97" s="9">
        <v>1</v>
      </c>
      <c r="O97" s="9" t="str">
        <f t="shared" si="2"/>
        <v>Fair</v>
      </c>
      <c r="P97" s="9" t="str">
        <f t="shared" si="3"/>
        <v>Low</v>
      </c>
    </row>
    <row r="98" spans="1:16" x14ac:dyDescent="0.25">
      <c r="A98" s="10" t="s">
        <v>146</v>
      </c>
      <c r="B98" s="11">
        <v>45862</v>
      </c>
      <c r="C98" s="10">
        <v>23</v>
      </c>
      <c r="D98" s="10" t="s">
        <v>17</v>
      </c>
      <c r="E98" s="12">
        <v>1235525</v>
      </c>
      <c r="F98" s="10">
        <v>675</v>
      </c>
      <c r="G98" s="12">
        <v>1569468</v>
      </c>
      <c r="H98" s="13">
        <v>8</v>
      </c>
      <c r="I98" s="10">
        <v>24</v>
      </c>
      <c r="J98" s="10" t="s">
        <v>9</v>
      </c>
      <c r="K98" s="14">
        <v>0.36</v>
      </c>
      <c r="L98" s="10" t="s">
        <v>22</v>
      </c>
      <c r="M98" s="10" t="s">
        <v>5</v>
      </c>
      <c r="N98" s="10">
        <v>0</v>
      </c>
      <c r="O98" s="10" t="str">
        <f t="shared" si="2"/>
        <v>Good</v>
      </c>
      <c r="P98" s="10" t="str">
        <f t="shared" si="3"/>
        <v>Medium</v>
      </c>
    </row>
    <row r="99" spans="1:16" x14ac:dyDescent="0.25">
      <c r="A99" s="9" t="s">
        <v>147</v>
      </c>
      <c r="B99" s="15">
        <v>45527</v>
      </c>
      <c r="C99" s="9">
        <v>33</v>
      </c>
      <c r="D99" s="9" t="s">
        <v>16</v>
      </c>
      <c r="E99" s="16">
        <v>1631463</v>
      </c>
      <c r="F99" s="9">
        <v>825</v>
      </c>
      <c r="G99" s="16">
        <v>1447796</v>
      </c>
      <c r="H99" s="17">
        <v>6</v>
      </c>
      <c r="I99" s="9">
        <v>24</v>
      </c>
      <c r="J99" s="9" t="s">
        <v>11</v>
      </c>
      <c r="K99" s="18">
        <v>0.36</v>
      </c>
      <c r="L99" s="9" t="s">
        <v>20</v>
      </c>
      <c r="M99" s="9" t="s">
        <v>3</v>
      </c>
      <c r="N99" s="9">
        <v>0</v>
      </c>
      <c r="O99" s="9" t="str">
        <f t="shared" si="2"/>
        <v>Excellent</v>
      </c>
      <c r="P99" s="9" t="str">
        <f t="shared" si="3"/>
        <v>Medium</v>
      </c>
    </row>
    <row r="100" spans="1:16" x14ac:dyDescent="0.25">
      <c r="A100" s="10" t="s">
        <v>148</v>
      </c>
      <c r="B100" s="11">
        <v>45656</v>
      </c>
      <c r="C100" s="10">
        <v>33</v>
      </c>
      <c r="D100" s="10" t="s">
        <v>16</v>
      </c>
      <c r="E100" s="12">
        <v>2154823</v>
      </c>
      <c r="F100" s="10">
        <v>783</v>
      </c>
      <c r="G100" s="12">
        <v>464383</v>
      </c>
      <c r="H100" s="13">
        <v>9</v>
      </c>
      <c r="I100" s="10">
        <v>60</v>
      </c>
      <c r="J100" s="10" t="s">
        <v>11</v>
      </c>
      <c r="K100" s="14">
        <v>0.56999999999999995</v>
      </c>
      <c r="L100" s="10" t="s">
        <v>22</v>
      </c>
      <c r="M100" s="10" t="s">
        <v>3</v>
      </c>
      <c r="N100" s="10">
        <v>0</v>
      </c>
      <c r="O100" s="10" t="str">
        <f t="shared" si="2"/>
        <v>Excellent</v>
      </c>
      <c r="P100" s="10" t="str">
        <f t="shared" si="3"/>
        <v>High</v>
      </c>
    </row>
    <row r="101" spans="1:16" x14ac:dyDescent="0.25">
      <c r="A101" s="9" t="s">
        <v>149</v>
      </c>
      <c r="B101" s="15">
        <v>45846</v>
      </c>
      <c r="C101" s="9">
        <v>22</v>
      </c>
      <c r="D101" s="9" t="s">
        <v>17</v>
      </c>
      <c r="E101" s="16">
        <v>2000196</v>
      </c>
      <c r="F101" s="9">
        <v>631</v>
      </c>
      <c r="G101" s="16">
        <v>1789900</v>
      </c>
      <c r="H101" s="17">
        <v>15</v>
      </c>
      <c r="I101" s="9">
        <v>12</v>
      </c>
      <c r="J101" s="9" t="s">
        <v>13</v>
      </c>
      <c r="K101" s="18">
        <v>0.37</v>
      </c>
      <c r="L101" s="9" t="s">
        <v>22</v>
      </c>
      <c r="M101" s="9" t="s">
        <v>5</v>
      </c>
      <c r="N101" s="9">
        <v>0</v>
      </c>
      <c r="O101" s="9" t="str">
        <f t="shared" si="2"/>
        <v>Fair</v>
      </c>
      <c r="P101" s="9" t="str">
        <f t="shared" si="3"/>
        <v>Medium</v>
      </c>
    </row>
    <row r="102" spans="1:16" x14ac:dyDescent="0.25">
      <c r="A102" s="10" t="s">
        <v>150</v>
      </c>
      <c r="B102" s="11">
        <v>45207</v>
      </c>
      <c r="C102" s="10">
        <v>64</v>
      </c>
      <c r="D102" s="10" t="s">
        <v>17</v>
      </c>
      <c r="E102" s="12">
        <v>1017754</v>
      </c>
      <c r="F102" s="10">
        <v>742</v>
      </c>
      <c r="G102" s="12">
        <v>1903428</v>
      </c>
      <c r="H102" s="13">
        <v>13</v>
      </c>
      <c r="I102" s="10">
        <v>36</v>
      </c>
      <c r="J102" s="10" t="s">
        <v>10</v>
      </c>
      <c r="K102" s="14">
        <v>0.54</v>
      </c>
      <c r="L102" s="10" t="s">
        <v>22</v>
      </c>
      <c r="M102" s="10" t="s">
        <v>2</v>
      </c>
      <c r="N102" s="10">
        <v>1</v>
      </c>
      <c r="O102" s="10" t="str">
        <f t="shared" si="2"/>
        <v>Excellent</v>
      </c>
      <c r="P102" s="10" t="str">
        <f t="shared" si="3"/>
        <v>High</v>
      </c>
    </row>
    <row r="103" spans="1:16" x14ac:dyDescent="0.25">
      <c r="A103" s="9" t="s">
        <v>151</v>
      </c>
      <c r="B103" s="15">
        <v>45970</v>
      </c>
      <c r="C103" s="9">
        <v>32</v>
      </c>
      <c r="D103" s="9" t="s">
        <v>16</v>
      </c>
      <c r="E103" s="16">
        <v>1037179</v>
      </c>
      <c r="F103" s="9">
        <v>723</v>
      </c>
      <c r="G103" s="16">
        <v>1546330</v>
      </c>
      <c r="H103" s="17">
        <v>16</v>
      </c>
      <c r="I103" s="9">
        <v>60</v>
      </c>
      <c r="J103" s="9" t="s">
        <v>13</v>
      </c>
      <c r="K103" s="18">
        <v>0.37</v>
      </c>
      <c r="L103" s="9" t="s">
        <v>21</v>
      </c>
      <c r="M103" s="9" t="s">
        <v>3</v>
      </c>
      <c r="N103" s="9">
        <v>0</v>
      </c>
      <c r="O103" s="9" t="str">
        <f t="shared" si="2"/>
        <v>Good</v>
      </c>
      <c r="P103" s="9" t="str">
        <f t="shared" si="3"/>
        <v>Medium</v>
      </c>
    </row>
    <row r="104" spans="1:16" x14ac:dyDescent="0.25">
      <c r="A104" s="10" t="s">
        <v>152</v>
      </c>
      <c r="B104" s="11">
        <v>45779</v>
      </c>
      <c r="C104" s="10">
        <v>30</v>
      </c>
      <c r="D104" s="10" t="s">
        <v>17</v>
      </c>
      <c r="E104" s="12">
        <v>272571</v>
      </c>
      <c r="F104" s="10">
        <v>691</v>
      </c>
      <c r="G104" s="12">
        <v>1911967</v>
      </c>
      <c r="H104" s="13">
        <v>17</v>
      </c>
      <c r="I104" s="10">
        <v>24</v>
      </c>
      <c r="J104" s="10" t="s">
        <v>12</v>
      </c>
      <c r="K104" s="14">
        <v>0.28999999999999998</v>
      </c>
      <c r="L104" s="10" t="s">
        <v>18</v>
      </c>
      <c r="M104" s="10" t="s">
        <v>5</v>
      </c>
      <c r="N104" s="10">
        <v>1</v>
      </c>
      <c r="O104" s="10" t="str">
        <f t="shared" si="2"/>
        <v>Good</v>
      </c>
      <c r="P104" s="10" t="str">
        <f t="shared" si="3"/>
        <v>Medium</v>
      </c>
    </row>
    <row r="105" spans="1:16" x14ac:dyDescent="0.25">
      <c r="A105" s="9" t="s">
        <v>153</v>
      </c>
      <c r="B105" s="15">
        <v>45253</v>
      </c>
      <c r="C105" s="9">
        <v>27</v>
      </c>
      <c r="D105" s="9" t="s">
        <v>16</v>
      </c>
      <c r="E105" s="16">
        <v>1568896</v>
      </c>
      <c r="F105" s="9">
        <v>749</v>
      </c>
      <c r="G105" s="16">
        <v>86332</v>
      </c>
      <c r="H105" s="17">
        <v>8</v>
      </c>
      <c r="I105" s="9">
        <v>60</v>
      </c>
      <c r="J105" s="9" t="s">
        <v>10</v>
      </c>
      <c r="K105" s="18">
        <v>0.35</v>
      </c>
      <c r="L105" s="9" t="s">
        <v>22</v>
      </c>
      <c r="M105" s="9" t="s">
        <v>2</v>
      </c>
      <c r="N105" s="9">
        <v>0</v>
      </c>
      <c r="O105" s="9" t="str">
        <f t="shared" si="2"/>
        <v>Excellent</v>
      </c>
      <c r="P105" s="9" t="str">
        <f t="shared" si="3"/>
        <v>Medium</v>
      </c>
    </row>
    <row r="106" spans="1:16" x14ac:dyDescent="0.25">
      <c r="A106" s="10" t="s">
        <v>154</v>
      </c>
      <c r="B106" s="11">
        <v>45506</v>
      </c>
      <c r="C106" s="10">
        <v>39</v>
      </c>
      <c r="D106" s="10" t="s">
        <v>9</v>
      </c>
      <c r="E106" s="12">
        <v>1009621</v>
      </c>
      <c r="F106" s="10">
        <v>401</v>
      </c>
      <c r="G106" s="12">
        <v>974461</v>
      </c>
      <c r="H106" s="13">
        <v>17</v>
      </c>
      <c r="I106" s="10">
        <v>60</v>
      </c>
      <c r="J106" s="10" t="s">
        <v>12</v>
      </c>
      <c r="K106" s="14">
        <v>0.59</v>
      </c>
      <c r="L106" s="10" t="s">
        <v>19</v>
      </c>
      <c r="M106" s="10" t="s">
        <v>2</v>
      </c>
      <c r="N106" s="10">
        <v>1</v>
      </c>
      <c r="O106" s="10" t="str">
        <f t="shared" si="2"/>
        <v>Poor</v>
      </c>
      <c r="P106" s="10" t="str">
        <f t="shared" si="3"/>
        <v>High</v>
      </c>
    </row>
    <row r="107" spans="1:16" x14ac:dyDescent="0.25">
      <c r="A107" s="9" t="s">
        <v>155</v>
      </c>
      <c r="B107" s="15">
        <v>45771</v>
      </c>
      <c r="C107" s="9">
        <v>24</v>
      </c>
      <c r="D107" s="9" t="s">
        <v>9</v>
      </c>
      <c r="E107" s="16">
        <v>1422710</v>
      </c>
      <c r="F107" s="9">
        <v>459</v>
      </c>
      <c r="G107" s="16">
        <v>709273</v>
      </c>
      <c r="H107" s="17">
        <v>22</v>
      </c>
      <c r="I107" s="9">
        <v>12</v>
      </c>
      <c r="J107" s="9" t="s">
        <v>10</v>
      </c>
      <c r="K107" s="18">
        <v>0.48</v>
      </c>
      <c r="L107" s="9" t="s">
        <v>18</v>
      </c>
      <c r="M107" s="9" t="s">
        <v>5</v>
      </c>
      <c r="N107" s="9">
        <v>1</v>
      </c>
      <c r="O107" s="9" t="str">
        <f t="shared" si="2"/>
        <v>Poor</v>
      </c>
      <c r="P107" s="9" t="str">
        <f t="shared" si="3"/>
        <v>High</v>
      </c>
    </row>
    <row r="108" spans="1:16" x14ac:dyDescent="0.25">
      <c r="A108" s="10" t="s">
        <v>156</v>
      </c>
      <c r="B108" s="11">
        <v>45156</v>
      </c>
      <c r="C108" s="10">
        <v>31</v>
      </c>
      <c r="D108" s="10" t="s">
        <v>17</v>
      </c>
      <c r="E108" s="12">
        <v>1449099</v>
      </c>
      <c r="F108" s="10">
        <v>735</v>
      </c>
      <c r="G108" s="12">
        <v>712710</v>
      </c>
      <c r="H108" s="13">
        <v>10</v>
      </c>
      <c r="I108" s="10">
        <v>60</v>
      </c>
      <c r="J108" s="10" t="s">
        <v>11</v>
      </c>
      <c r="K108" s="14">
        <v>0.17</v>
      </c>
      <c r="L108" s="10" t="s">
        <v>20</v>
      </c>
      <c r="M108" s="10" t="s">
        <v>5</v>
      </c>
      <c r="N108" s="10">
        <v>0</v>
      </c>
      <c r="O108" s="10" t="str">
        <f t="shared" si="2"/>
        <v>Good</v>
      </c>
      <c r="P108" s="10" t="str">
        <f t="shared" si="3"/>
        <v>Low</v>
      </c>
    </row>
    <row r="109" spans="1:16" x14ac:dyDescent="0.25">
      <c r="A109" s="9" t="s">
        <v>157</v>
      </c>
      <c r="B109" s="15">
        <v>45147</v>
      </c>
      <c r="C109" s="9">
        <v>26</v>
      </c>
      <c r="D109" s="9" t="s">
        <v>16</v>
      </c>
      <c r="E109" s="16">
        <v>2041387</v>
      </c>
      <c r="F109" s="9">
        <v>707</v>
      </c>
      <c r="G109" s="16">
        <v>491800</v>
      </c>
      <c r="H109" s="17">
        <v>15</v>
      </c>
      <c r="I109" s="9">
        <v>12</v>
      </c>
      <c r="J109" s="9" t="s">
        <v>10</v>
      </c>
      <c r="K109" s="18">
        <v>0.52</v>
      </c>
      <c r="L109" s="9" t="s">
        <v>22</v>
      </c>
      <c r="M109" s="9" t="s">
        <v>2</v>
      </c>
      <c r="N109" s="9">
        <v>1</v>
      </c>
      <c r="O109" s="9" t="str">
        <f t="shared" si="2"/>
        <v>Good</v>
      </c>
      <c r="P109" s="9" t="str">
        <f t="shared" si="3"/>
        <v>High</v>
      </c>
    </row>
    <row r="110" spans="1:16" x14ac:dyDescent="0.25">
      <c r="A110" s="10" t="s">
        <v>158</v>
      </c>
      <c r="B110" s="11">
        <v>45890</v>
      </c>
      <c r="C110" s="10">
        <v>63</v>
      </c>
      <c r="D110" s="10" t="s">
        <v>16</v>
      </c>
      <c r="E110" s="12">
        <v>1439095</v>
      </c>
      <c r="F110" s="10">
        <v>541</v>
      </c>
      <c r="G110" s="12">
        <v>181224</v>
      </c>
      <c r="H110" s="13">
        <v>8</v>
      </c>
      <c r="I110" s="10">
        <v>60</v>
      </c>
      <c r="J110" s="10" t="s">
        <v>12</v>
      </c>
      <c r="K110" s="14">
        <v>0.11</v>
      </c>
      <c r="L110" s="10" t="s">
        <v>18</v>
      </c>
      <c r="M110" s="10" t="s">
        <v>3</v>
      </c>
      <c r="N110" s="10">
        <v>0</v>
      </c>
      <c r="O110" s="10" t="str">
        <f t="shared" si="2"/>
        <v>Poor</v>
      </c>
      <c r="P110" s="10" t="str">
        <f t="shared" si="3"/>
        <v>Low</v>
      </c>
    </row>
    <row r="111" spans="1:16" x14ac:dyDescent="0.25">
      <c r="A111" s="9" t="s">
        <v>159</v>
      </c>
      <c r="B111" s="15">
        <v>45450</v>
      </c>
      <c r="C111" s="9">
        <v>26</v>
      </c>
      <c r="D111" s="9" t="s">
        <v>16</v>
      </c>
      <c r="E111" s="16">
        <v>1168286</v>
      </c>
      <c r="F111" s="9">
        <v>354</v>
      </c>
      <c r="G111" s="16">
        <v>1881026</v>
      </c>
      <c r="H111" s="17">
        <v>10</v>
      </c>
      <c r="I111" s="9">
        <v>24</v>
      </c>
      <c r="J111" s="9" t="s">
        <v>11</v>
      </c>
      <c r="K111" s="18">
        <v>0.57999999999999996</v>
      </c>
      <c r="L111" s="9" t="s">
        <v>18</v>
      </c>
      <c r="M111" s="9" t="s">
        <v>2</v>
      </c>
      <c r="N111" s="9">
        <v>1</v>
      </c>
      <c r="O111" s="9" t="str">
        <f t="shared" si="2"/>
        <v>Poor</v>
      </c>
      <c r="P111" s="9" t="str">
        <f t="shared" si="3"/>
        <v>High</v>
      </c>
    </row>
    <row r="112" spans="1:16" x14ac:dyDescent="0.25">
      <c r="A112" s="10" t="s">
        <v>160</v>
      </c>
      <c r="B112" s="11">
        <v>45677</v>
      </c>
      <c r="C112" s="10">
        <v>21</v>
      </c>
      <c r="D112" s="10" t="s">
        <v>16</v>
      </c>
      <c r="E112" s="12">
        <v>279387</v>
      </c>
      <c r="F112" s="10">
        <v>779</v>
      </c>
      <c r="G112" s="12">
        <v>1415199</v>
      </c>
      <c r="H112" s="13">
        <v>23</v>
      </c>
      <c r="I112" s="10">
        <v>24</v>
      </c>
      <c r="J112" s="10" t="s">
        <v>14</v>
      </c>
      <c r="K112" s="14">
        <v>0.1</v>
      </c>
      <c r="L112" s="10" t="s">
        <v>21</v>
      </c>
      <c r="M112" s="10" t="s">
        <v>4</v>
      </c>
      <c r="N112" s="10">
        <v>0</v>
      </c>
      <c r="O112" s="10" t="str">
        <f t="shared" si="2"/>
        <v>Excellent</v>
      </c>
      <c r="P112" s="10" t="str">
        <f t="shared" si="3"/>
        <v>Low</v>
      </c>
    </row>
    <row r="113" spans="1:16" x14ac:dyDescent="0.25">
      <c r="A113" s="9" t="s">
        <v>161</v>
      </c>
      <c r="B113" s="15">
        <v>45181</v>
      </c>
      <c r="C113" s="9">
        <v>51</v>
      </c>
      <c r="D113" s="9" t="s">
        <v>17</v>
      </c>
      <c r="E113" s="16">
        <v>318571</v>
      </c>
      <c r="F113" s="9">
        <v>570</v>
      </c>
      <c r="G113" s="16">
        <v>201991</v>
      </c>
      <c r="H113" s="17">
        <v>22</v>
      </c>
      <c r="I113" s="9">
        <v>60</v>
      </c>
      <c r="J113" s="9" t="s">
        <v>11</v>
      </c>
      <c r="K113" s="18">
        <v>0.15</v>
      </c>
      <c r="L113" s="9" t="s">
        <v>18</v>
      </c>
      <c r="M113" s="9" t="s">
        <v>3</v>
      </c>
      <c r="N113" s="9">
        <v>0</v>
      </c>
      <c r="O113" s="9" t="str">
        <f t="shared" si="2"/>
        <v>Poor</v>
      </c>
      <c r="P113" s="9" t="str">
        <f t="shared" si="3"/>
        <v>Low</v>
      </c>
    </row>
    <row r="114" spans="1:16" x14ac:dyDescent="0.25">
      <c r="A114" s="10" t="s">
        <v>162</v>
      </c>
      <c r="B114" s="11">
        <v>45239</v>
      </c>
      <c r="C114" s="10">
        <v>26</v>
      </c>
      <c r="D114" s="10" t="s">
        <v>17</v>
      </c>
      <c r="E114" s="12">
        <v>1019492</v>
      </c>
      <c r="F114" s="10">
        <v>525</v>
      </c>
      <c r="G114" s="12">
        <v>208843</v>
      </c>
      <c r="H114" s="13">
        <v>21</v>
      </c>
      <c r="I114" s="10">
        <v>60</v>
      </c>
      <c r="J114" s="10" t="s">
        <v>10</v>
      </c>
      <c r="K114" s="14">
        <v>0.11</v>
      </c>
      <c r="L114" s="10" t="s">
        <v>22</v>
      </c>
      <c r="M114" s="10" t="s">
        <v>5</v>
      </c>
      <c r="N114" s="10">
        <v>0</v>
      </c>
      <c r="O114" s="10" t="str">
        <f t="shared" si="2"/>
        <v>Poor</v>
      </c>
      <c r="P114" s="10" t="str">
        <f t="shared" si="3"/>
        <v>Low</v>
      </c>
    </row>
    <row r="115" spans="1:16" x14ac:dyDescent="0.25">
      <c r="A115" s="9" t="s">
        <v>163</v>
      </c>
      <c r="B115" s="15">
        <v>45070</v>
      </c>
      <c r="C115" s="9">
        <v>60</v>
      </c>
      <c r="D115" s="9" t="s">
        <v>9</v>
      </c>
      <c r="E115" s="16">
        <v>1106568</v>
      </c>
      <c r="F115" s="9">
        <v>406</v>
      </c>
      <c r="G115" s="16">
        <v>392999</v>
      </c>
      <c r="H115" s="17">
        <v>12</v>
      </c>
      <c r="I115" s="9">
        <v>24</v>
      </c>
      <c r="J115" s="9" t="s">
        <v>14</v>
      </c>
      <c r="K115" s="18">
        <v>0.13</v>
      </c>
      <c r="L115" s="9" t="s">
        <v>18</v>
      </c>
      <c r="M115" s="9" t="s">
        <v>5</v>
      </c>
      <c r="N115" s="9">
        <v>1</v>
      </c>
      <c r="O115" s="9" t="str">
        <f t="shared" si="2"/>
        <v>Poor</v>
      </c>
      <c r="P115" s="9" t="str">
        <f t="shared" si="3"/>
        <v>Low</v>
      </c>
    </row>
    <row r="116" spans="1:16" x14ac:dyDescent="0.25">
      <c r="A116" s="10" t="s">
        <v>164</v>
      </c>
      <c r="B116" s="11">
        <v>45411</v>
      </c>
      <c r="C116" s="10">
        <v>56</v>
      </c>
      <c r="D116" s="10" t="s">
        <v>17</v>
      </c>
      <c r="E116" s="12">
        <v>1134884</v>
      </c>
      <c r="F116" s="10">
        <v>473</v>
      </c>
      <c r="G116" s="12">
        <v>1788690</v>
      </c>
      <c r="H116" s="13">
        <v>8</v>
      </c>
      <c r="I116" s="10">
        <v>24</v>
      </c>
      <c r="J116" s="10" t="s">
        <v>10</v>
      </c>
      <c r="K116" s="14">
        <v>0.21</v>
      </c>
      <c r="L116" s="10" t="s">
        <v>21</v>
      </c>
      <c r="M116" s="10" t="s">
        <v>2</v>
      </c>
      <c r="N116" s="10">
        <v>0</v>
      </c>
      <c r="O116" s="10" t="str">
        <f t="shared" si="2"/>
        <v>Poor</v>
      </c>
      <c r="P116" s="10" t="str">
        <f t="shared" si="3"/>
        <v>Medium</v>
      </c>
    </row>
    <row r="117" spans="1:16" x14ac:dyDescent="0.25">
      <c r="A117" s="9" t="s">
        <v>165</v>
      </c>
      <c r="B117" s="15">
        <v>44931</v>
      </c>
      <c r="C117" s="9">
        <v>31</v>
      </c>
      <c r="D117" s="9" t="s">
        <v>9</v>
      </c>
      <c r="E117" s="16">
        <v>718920</v>
      </c>
      <c r="F117" s="9">
        <v>585</v>
      </c>
      <c r="G117" s="16">
        <v>1226216</v>
      </c>
      <c r="H117" s="17">
        <v>24</v>
      </c>
      <c r="I117" s="9">
        <v>12</v>
      </c>
      <c r="J117" s="9" t="s">
        <v>13</v>
      </c>
      <c r="K117" s="18">
        <v>0.53</v>
      </c>
      <c r="L117" s="9" t="s">
        <v>18</v>
      </c>
      <c r="M117" s="9" t="s">
        <v>2</v>
      </c>
      <c r="N117" s="9">
        <v>0</v>
      </c>
      <c r="O117" s="9" t="str">
        <f t="shared" si="2"/>
        <v>Fair</v>
      </c>
      <c r="P117" s="9" t="str">
        <f t="shared" si="3"/>
        <v>High</v>
      </c>
    </row>
    <row r="118" spans="1:16" x14ac:dyDescent="0.25">
      <c r="A118" s="10" t="s">
        <v>166</v>
      </c>
      <c r="B118" s="11">
        <v>45834</v>
      </c>
      <c r="C118" s="10">
        <v>36</v>
      </c>
      <c r="D118" s="10" t="s">
        <v>17</v>
      </c>
      <c r="E118" s="12">
        <v>735395</v>
      </c>
      <c r="F118" s="10">
        <v>563</v>
      </c>
      <c r="G118" s="12">
        <v>1164549</v>
      </c>
      <c r="H118" s="13">
        <v>12</v>
      </c>
      <c r="I118" s="10">
        <v>36</v>
      </c>
      <c r="J118" s="10" t="s">
        <v>10</v>
      </c>
      <c r="K118" s="14">
        <v>0.21</v>
      </c>
      <c r="L118" s="10" t="s">
        <v>18</v>
      </c>
      <c r="M118" s="10" t="s">
        <v>4</v>
      </c>
      <c r="N118" s="10">
        <v>0</v>
      </c>
      <c r="O118" s="10" t="str">
        <f t="shared" si="2"/>
        <v>Poor</v>
      </c>
      <c r="P118" s="10" t="str">
        <f t="shared" si="3"/>
        <v>Medium</v>
      </c>
    </row>
    <row r="119" spans="1:16" x14ac:dyDescent="0.25">
      <c r="A119" s="9" t="s">
        <v>167</v>
      </c>
      <c r="B119" s="15">
        <v>45515</v>
      </c>
      <c r="C119" s="9">
        <v>36</v>
      </c>
      <c r="D119" s="9" t="s">
        <v>17</v>
      </c>
      <c r="E119" s="16">
        <v>2364477</v>
      </c>
      <c r="F119" s="9">
        <v>496</v>
      </c>
      <c r="G119" s="16">
        <v>788644</v>
      </c>
      <c r="H119" s="17">
        <v>20</v>
      </c>
      <c r="I119" s="9">
        <v>36</v>
      </c>
      <c r="J119" s="9" t="s">
        <v>9</v>
      </c>
      <c r="K119" s="18">
        <v>0.15</v>
      </c>
      <c r="L119" s="9" t="s">
        <v>22</v>
      </c>
      <c r="M119" s="9" t="s">
        <v>3</v>
      </c>
      <c r="N119" s="9">
        <v>0</v>
      </c>
      <c r="O119" s="9" t="str">
        <f t="shared" si="2"/>
        <v>Poor</v>
      </c>
      <c r="P119" s="9" t="str">
        <f t="shared" si="3"/>
        <v>Low</v>
      </c>
    </row>
    <row r="120" spans="1:16" x14ac:dyDescent="0.25">
      <c r="A120" s="10" t="s">
        <v>168</v>
      </c>
      <c r="B120" s="11">
        <v>45936</v>
      </c>
      <c r="C120" s="10">
        <v>44</v>
      </c>
      <c r="D120" s="10" t="s">
        <v>9</v>
      </c>
      <c r="E120" s="12">
        <v>866209</v>
      </c>
      <c r="F120" s="10">
        <v>361</v>
      </c>
      <c r="G120" s="12">
        <v>1789567</v>
      </c>
      <c r="H120" s="13">
        <v>9</v>
      </c>
      <c r="I120" s="10">
        <v>24</v>
      </c>
      <c r="J120" s="10" t="s">
        <v>12</v>
      </c>
      <c r="K120" s="14">
        <v>0.2</v>
      </c>
      <c r="L120" s="10" t="s">
        <v>20</v>
      </c>
      <c r="M120" s="10" t="s">
        <v>5</v>
      </c>
      <c r="N120" s="10">
        <v>0</v>
      </c>
      <c r="O120" s="10" t="str">
        <f t="shared" si="2"/>
        <v>Poor</v>
      </c>
      <c r="P120" s="10" t="str">
        <f t="shared" si="3"/>
        <v>Medium</v>
      </c>
    </row>
    <row r="121" spans="1:16" x14ac:dyDescent="0.25">
      <c r="A121" s="9" t="s">
        <v>169</v>
      </c>
      <c r="B121" s="15">
        <v>45558</v>
      </c>
      <c r="C121" s="9">
        <v>61</v>
      </c>
      <c r="D121" s="9" t="s">
        <v>16</v>
      </c>
      <c r="E121" s="16">
        <v>597316</v>
      </c>
      <c r="F121" s="9">
        <v>584</v>
      </c>
      <c r="G121" s="16">
        <v>77360</v>
      </c>
      <c r="H121" s="17">
        <v>11</v>
      </c>
      <c r="I121" s="9">
        <v>12</v>
      </c>
      <c r="J121" s="9" t="s">
        <v>14</v>
      </c>
      <c r="K121" s="18">
        <v>0.56000000000000005</v>
      </c>
      <c r="L121" s="9" t="s">
        <v>18</v>
      </c>
      <c r="M121" s="9" t="s">
        <v>3</v>
      </c>
      <c r="N121" s="9">
        <v>0</v>
      </c>
      <c r="O121" s="9" t="str">
        <f t="shared" si="2"/>
        <v>Fair</v>
      </c>
      <c r="P121" s="9" t="str">
        <f t="shared" si="3"/>
        <v>High</v>
      </c>
    </row>
    <row r="122" spans="1:16" x14ac:dyDescent="0.25">
      <c r="A122" s="10" t="s">
        <v>170</v>
      </c>
      <c r="B122" s="11">
        <v>45240</v>
      </c>
      <c r="C122" s="10">
        <v>46</v>
      </c>
      <c r="D122" s="10" t="s">
        <v>16</v>
      </c>
      <c r="E122" s="12">
        <v>954424</v>
      </c>
      <c r="F122" s="10">
        <v>399</v>
      </c>
      <c r="G122" s="12">
        <v>499210</v>
      </c>
      <c r="H122" s="13">
        <v>16</v>
      </c>
      <c r="I122" s="10">
        <v>24</v>
      </c>
      <c r="J122" s="10" t="s">
        <v>11</v>
      </c>
      <c r="K122" s="14">
        <v>0.38</v>
      </c>
      <c r="L122" s="10" t="s">
        <v>18</v>
      </c>
      <c r="M122" s="10" t="s">
        <v>2</v>
      </c>
      <c r="N122" s="10">
        <v>0</v>
      </c>
      <c r="O122" s="10" t="str">
        <f t="shared" si="2"/>
        <v>Poor</v>
      </c>
      <c r="P122" s="10" t="str">
        <f t="shared" si="3"/>
        <v>Medium</v>
      </c>
    </row>
    <row r="123" spans="1:16" x14ac:dyDescent="0.25">
      <c r="A123" s="9" t="s">
        <v>171</v>
      </c>
      <c r="B123" s="15">
        <v>45616</v>
      </c>
      <c r="C123" s="9">
        <v>60</v>
      </c>
      <c r="D123" s="9" t="s">
        <v>16</v>
      </c>
      <c r="E123" s="16">
        <v>736626</v>
      </c>
      <c r="F123" s="9">
        <v>849</v>
      </c>
      <c r="G123" s="16">
        <v>170021</v>
      </c>
      <c r="H123" s="17">
        <v>23</v>
      </c>
      <c r="I123" s="9">
        <v>36</v>
      </c>
      <c r="J123" s="9" t="s">
        <v>12</v>
      </c>
      <c r="K123" s="18">
        <v>0.47</v>
      </c>
      <c r="L123" s="9" t="s">
        <v>20</v>
      </c>
      <c r="M123" s="9" t="s">
        <v>4</v>
      </c>
      <c r="N123" s="9">
        <v>0</v>
      </c>
      <c r="O123" s="9" t="str">
        <f t="shared" si="2"/>
        <v>Excellent</v>
      </c>
      <c r="P123" s="9" t="str">
        <f t="shared" si="3"/>
        <v>High</v>
      </c>
    </row>
    <row r="124" spans="1:16" x14ac:dyDescent="0.25">
      <c r="A124" s="10" t="s">
        <v>172</v>
      </c>
      <c r="B124" s="11">
        <v>45230</v>
      </c>
      <c r="C124" s="10">
        <v>62</v>
      </c>
      <c r="D124" s="10" t="s">
        <v>16</v>
      </c>
      <c r="E124" s="12">
        <v>839912</v>
      </c>
      <c r="F124" s="10">
        <v>343</v>
      </c>
      <c r="G124" s="12">
        <v>452894</v>
      </c>
      <c r="H124" s="13">
        <v>19</v>
      </c>
      <c r="I124" s="10">
        <v>12</v>
      </c>
      <c r="J124" s="10" t="s">
        <v>12</v>
      </c>
      <c r="K124" s="14">
        <v>0.2</v>
      </c>
      <c r="L124" s="10" t="s">
        <v>18</v>
      </c>
      <c r="M124" s="10" t="s">
        <v>3</v>
      </c>
      <c r="N124" s="10">
        <v>0</v>
      </c>
      <c r="O124" s="10" t="str">
        <f t="shared" si="2"/>
        <v>Poor</v>
      </c>
      <c r="P124" s="10" t="str">
        <f t="shared" si="3"/>
        <v>Medium</v>
      </c>
    </row>
    <row r="125" spans="1:16" x14ac:dyDescent="0.25">
      <c r="A125" s="9" t="s">
        <v>173</v>
      </c>
      <c r="B125" s="15">
        <v>45993</v>
      </c>
      <c r="C125" s="9">
        <v>29</v>
      </c>
      <c r="D125" s="9" t="s">
        <v>9</v>
      </c>
      <c r="E125" s="16">
        <v>678155</v>
      </c>
      <c r="F125" s="9">
        <v>682</v>
      </c>
      <c r="G125" s="16">
        <v>77418</v>
      </c>
      <c r="H125" s="17">
        <v>10</v>
      </c>
      <c r="I125" s="9">
        <v>60</v>
      </c>
      <c r="J125" s="9" t="s">
        <v>12</v>
      </c>
      <c r="K125" s="18">
        <v>0.55000000000000004</v>
      </c>
      <c r="L125" s="9" t="s">
        <v>19</v>
      </c>
      <c r="M125" s="9" t="s">
        <v>3</v>
      </c>
      <c r="N125" s="9">
        <v>0</v>
      </c>
      <c r="O125" s="9" t="str">
        <f t="shared" si="2"/>
        <v>Good</v>
      </c>
      <c r="P125" s="9" t="str">
        <f t="shared" si="3"/>
        <v>High</v>
      </c>
    </row>
    <row r="126" spans="1:16" x14ac:dyDescent="0.25">
      <c r="A126" s="10" t="s">
        <v>174</v>
      </c>
      <c r="B126" s="11">
        <v>45163</v>
      </c>
      <c r="C126" s="10">
        <v>22</v>
      </c>
      <c r="D126" s="10" t="s">
        <v>9</v>
      </c>
      <c r="E126" s="12">
        <v>2191727</v>
      </c>
      <c r="F126" s="10">
        <v>569</v>
      </c>
      <c r="G126" s="12">
        <v>1937989</v>
      </c>
      <c r="H126" s="13">
        <v>7</v>
      </c>
      <c r="I126" s="10">
        <v>36</v>
      </c>
      <c r="J126" s="10" t="s">
        <v>9</v>
      </c>
      <c r="K126" s="14">
        <v>0.42</v>
      </c>
      <c r="L126" s="10" t="s">
        <v>20</v>
      </c>
      <c r="M126" s="10" t="s">
        <v>3</v>
      </c>
      <c r="N126" s="10">
        <v>1</v>
      </c>
      <c r="O126" s="10" t="str">
        <f t="shared" si="2"/>
        <v>Poor</v>
      </c>
      <c r="P126" s="10" t="str">
        <f t="shared" si="3"/>
        <v>High</v>
      </c>
    </row>
    <row r="127" spans="1:16" x14ac:dyDescent="0.25">
      <c r="A127" s="9" t="s">
        <v>175</v>
      </c>
      <c r="B127" s="15">
        <v>45049</v>
      </c>
      <c r="C127" s="9">
        <v>43</v>
      </c>
      <c r="D127" s="9" t="s">
        <v>16</v>
      </c>
      <c r="E127" s="16">
        <v>1913129</v>
      </c>
      <c r="F127" s="9">
        <v>536</v>
      </c>
      <c r="G127" s="16">
        <v>252645</v>
      </c>
      <c r="H127" s="17">
        <v>9</v>
      </c>
      <c r="I127" s="9">
        <v>60</v>
      </c>
      <c r="J127" s="9" t="s">
        <v>14</v>
      </c>
      <c r="K127" s="18">
        <v>0.59</v>
      </c>
      <c r="L127" s="9" t="s">
        <v>22</v>
      </c>
      <c r="M127" s="9" t="s">
        <v>5</v>
      </c>
      <c r="N127" s="9">
        <v>1</v>
      </c>
      <c r="O127" s="9" t="str">
        <f t="shared" si="2"/>
        <v>Poor</v>
      </c>
      <c r="P127" s="9" t="str">
        <f t="shared" si="3"/>
        <v>High</v>
      </c>
    </row>
    <row r="128" spans="1:16" x14ac:dyDescent="0.25">
      <c r="A128" s="10" t="s">
        <v>176</v>
      </c>
      <c r="B128" s="11">
        <v>45763</v>
      </c>
      <c r="C128" s="10">
        <v>32</v>
      </c>
      <c r="D128" s="10" t="s">
        <v>16</v>
      </c>
      <c r="E128" s="12">
        <v>2257655</v>
      </c>
      <c r="F128" s="10">
        <v>457</v>
      </c>
      <c r="G128" s="12">
        <v>1363564</v>
      </c>
      <c r="H128" s="13">
        <v>6</v>
      </c>
      <c r="I128" s="10">
        <v>12</v>
      </c>
      <c r="J128" s="10" t="s">
        <v>9</v>
      </c>
      <c r="K128" s="14">
        <v>0.22</v>
      </c>
      <c r="L128" s="10" t="s">
        <v>19</v>
      </c>
      <c r="M128" s="10" t="s">
        <v>4</v>
      </c>
      <c r="N128" s="10">
        <v>0</v>
      </c>
      <c r="O128" s="10" t="str">
        <f t="shared" si="2"/>
        <v>Poor</v>
      </c>
      <c r="P128" s="10" t="str">
        <f t="shared" si="3"/>
        <v>Medium</v>
      </c>
    </row>
    <row r="129" spans="1:16" x14ac:dyDescent="0.25">
      <c r="A129" s="9" t="s">
        <v>177</v>
      </c>
      <c r="B129" s="15">
        <v>45788</v>
      </c>
      <c r="C129" s="9">
        <v>62</v>
      </c>
      <c r="D129" s="9" t="s">
        <v>9</v>
      </c>
      <c r="E129" s="16">
        <v>1730894</v>
      </c>
      <c r="F129" s="9">
        <v>523</v>
      </c>
      <c r="G129" s="16">
        <v>227350</v>
      </c>
      <c r="H129" s="17">
        <v>24</v>
      </c>
      <c r="I129" s="9">
        <v>12</v>
      </c>
      <c r="J129" s="9" t="s">
        <v>11</v>
      </c>
      <c r="K129" s="18">
        <v>0.33</v>
      </c>
      <c r="L129" s="9" t="s">
        <v>21</v>
      </c>
      <c r="M129" s="9" t="s">
        <v>4</v>
      </c>
      <c r="N129" s="9">
        <v>0</v>
      </c>
      <c r="O129" s="9" t="str">
        <f t="shared" si="2"/>
        <v>Poor</v>
      </c>
      <c r="P129" s="9" t="str">
        <f t="shared" si="3"/>
        <v>Medium</v>
      </c>
    </row>
    <row r="130" spans="1:16" x14ac:dyDescent="0.25">
      <c r="A130" s="10" t="s">
        <v>178</v>
      </c>
      <c r="B130" s="11">
        <v>45497</v>
      </c>
      <c r="C130" s="10">
        <v>40</v>
      </c>
      <c r="D130" s="10" t="s">
        <v>9</v>
      </c>
      <c r="E130" s="12">
        <v>1437829</v>
      </c>
      <c r="F130" s="10">
        <v>798</v>
      </c>
      <c r="G130" s="12">
        <v>1878794</v>
      </c>
      <c r="H130" s="13">
        <v>11</v>
      </c>
      <c r="I130" s="10">
        <v>24</v>
      </c>
      <c r="J130" s="10" t="s">
        <v>10</v>
      </c>
      <c r="K130" s="14">
        <v>0.24</v>
      </c>
      <c r="L130" s="10" t="s">
        <v>21</v>
      </c>
      <c r="M130" s="10" t="s">
        <v>3</v>
      </c>
      <c r="N130" s="10">
        <v>0</v>
      </c>
      <c r="O130" s="10" t="str">
        <f t="shared" ref="O130:O193" si="4">IF(F130&lt;580,"Poor",IF(F130&lt;670,"Fair",IF(F130&lt;740,"Good","Excellent")))</f>
        <v>Excellent</v>
      </c>
      <c r="P130" s="10" t="str">
        <f t="shared" ref="P130:P193" si="5">IF(K130&lt;0.2,"Low",IF(K130&lt;0.4,"Medium","High"))</f>
        <v>Medium</v>
      </c>
    </row>
    <row r="131" spans="1:16" x14ac:dyDescent="0.25">
      <c r="A131" s="9" t="s">
        <v>179</v>
      </c>
      <c r="B131" s="15">
        <v>45557</v>
      </c>
      <c r="C131" s="9">
        <v>45</v>
      </c>
      <c r="D131" s="9" t="s">
        <v>9</v>
      </c>
      <c r="E131" s="16">
        <v>1735544</v>
      </c>
      <c r="F131" s="9">
        <v>655</v>
      </c>
      <c r="G131" s="16">
        <v>286155</v>
      </c>
      <c r="H131" s="17">
        <v>8</v>
      </c>
      <c r="I131" s="9">
        <v>12</v>
      </c>
      <c r="J131" s="9" t="s">
        <v>11</v>
      </c>
      <c r="K131" s="18">
        <v>0.27</v>
      </c>
      <c r="L131" s="9" t="s">
        <v>19</v>
      </c>
      <c r="M131" s="9" t="s">
        <v>5</v>
      </c>
      <c r="N131" s="9">
        <v>0</v>
      </c>
      <c r="O131" s="9" t="str">
        <f t="shared" si="4"/>
        <v>Fair</v>
      </c>
      <c r="P131" s="9" t="str">
        <f t="shared" si="5"/>
        <v>Medium</v>
      </c>
    </row>
    <row r="132" spans="1:16" x14ac:dyDescent="0.25">
      <c r="A132" s="10" t="s">
        <v>180</v>
      </c>
      <c r="B132" s="11">
        <v>45759</v>
      </c>
      <c r="C132" s="10">
        <v>63</v>
      </c>
      <c r="D132" s="10" t="s">
        <v>9</v>
      </c>
      <c r="E132" s="12">
        <v>292891</v>
      </c>
      <c r="F132" s="10">
        <v>614</v>
      </c>
      <c r="G132" s="12">
        <v>1723693</v>
      </c>
      <c r="H132" s="13">
        <v>7</v>
      </c>
      <c r="I132" s="10">
        <v>36</v>
      </c>
      <c r="J132" s="10" t="s">
        <v>13</v>
      </c>
      <c r="K132" s="14">
        <v>0.43</v>
      </c>
      <c r="L132" s="10" t="s">
        <v>22</v>
      </c>
      <c r="M132" s="10" t="s">
        <v>5</v>
      </c>
      <c r="N132" s="10">
        <v>0</v>
      </c>
      <c r="O132" s="10" t="str">
        <f t="shared" si="4"/>
        <v>Fair</v>
      </c>
      <c r="P132" s="10" t="str">
        <f t="shared" si="5"/>
        <v>High</v>
      </c>
    </row>
    <row r="133" spans="1:16" x14ac:dyDescent="0.25">
      <c r="A133" s="9" t="s">
        <v>181</v>
      </c>
      <c r="B133" s="15">
        <v>45348</v>
      </c>
      <c r="C133" s="9">
        <v>40</v>
      </c>
      <c r="D133" s="9" t="s">
        <v>16</v>
      </c>
      <c r="E133" s="16">
        <v>355808</v>
      </c>
      <c r="F133" s="9">
        <v>583</v>
      </c>
      <c r="G133" s="16">
        <v>1335131</v>
      </c>
      <c r="H133" s="17">
        <v>20</v>
      </c>
      <c r="I133" s="9">
        <v>12</v>
      </c>
      <c r="J133" s="9" t="s">
        <v>13</v>
      </c>
      <c r="K133" s="18">
        <v>0.24</v>
      </c>
      <c r="L133" s="9" t="s">
        <v>19</v>
      </c>
      <c r="M133" s="9" t="s">
        <v>5</v>
      </c>
      <c r="N133" s="9">
        <v>0</v>
      </c>
      <c r="O133" s="9" t="str">
        <f t="shared" si="4"/>
        <v>Fair</v>
      </c>
      <c r="P133" s="9" t="str">
        <f t="shared" si="5"/>
        <v>Medium</v>
      </c>
    </row>
    <row r="134" spans="1:16" x14ac:dyDescent="0.25">
      <c r="A134" s="10" t="s">
        <v>182</v>
      </c>
      <c r="B134" s="11">
        <v>45668</v>
      </c>
      <c r="C134" s="10">
        <v>42</v>
      </c>
      <c r="D134" s="10" t="s">
        <v>16</v>
      </c>
      <c r="E134" s="12">
        <v>671557</v>
      </c>
      <c r="F134" s="10">
        <v>420</v>
      </c>
      <c r="G134" s="12">
        <v>1269870</v>
      </c>
      <c r="H134" s="13">
        <v>20</v>
      </c>
      <c r="I134" s="10">
        <v>24</v>
      </c>
      <c r="J134" s="10" t="s">
        <v>12</v>
      </c>
      <c r="K134" s="14">
        <v>0.46</v>
      </c>
      <c r="L134" s="10" t="s">
        <v>19</v>
      </c>
      <c r="M134" s="10" t="s">
        <v>2</v>
      </c>
      <c r="N134" s="10">
        <v>1</v>
      </c>
      <c r="O134" s="10" t="str">
        <f t="shared" si="4"/>
        <v>Poor</v>
      </c>
      <c r="P134" s="10" t="str">
        <f t="shared" si="5"/>
        <v>High</v>
      </c>
    </row>
    <row r="135" spans="1:16" x14ac:dyDescent="0.25">
      <c r="A135" s="9" t="s">
        <v>183</v>
      </c>
      <c r="B135" s="15">
        <v>45941</v>
      </c>
      <c r="C135" s="9">
        <v>37</v>
      </c>
      <c r="D135" s="9" t="s">
        <v>16</v>
      </c>
      <c r="E135" s="16">
        <v>682788</v>
      </c>
      <c r="F135" s="9">
        <v>848</v>
      </c>
      <c r="G135" s="16">
        <v>854800</v>
      </c>
      <c r="H135" s="17">
        <v>9</v>
      </c>
      <c r="I135" s="9">
        <v>24</v>
      </c>
      <c r="J135" s="9" t="s">
        <v>10</v>
      </c>
      <c r="K135" s="18">
        <v>0.25</v>
      </c>
      <c r="L135" s="9" t="s">
        <v>18</v>
      </c>
      <c r="M135" s="9" t="s">
        <v>4</v>
      </c>
      <c r="N135" s="9">
        <v>0</v>
      </c>
      <c r="O135" s="9" t="str">
        <f t="shared" si="4"/>
        <v>Excellent</v>
      </c>
      <c r="P135" s="9" t="str">
        <f t="shared" si="5"/>
        <v>Medium</v>
      </c>
    </row>
    <row r="136" spans="1:16" x14ac:dyDescent="0.25">
      <c r="A136" s="10" t="s">
        <v>184</v>
      </c>
      <c r="B136" s="11">
        <v>45227</v>
      </c>
      <c r="C136" s="10">
        <v>28</v>
      </c>
      <c r="D136" s="10" t="s">
        <v>17</v>
      </c>
      <c r="E136" s="12">
        <v>1635606</v>
      </c>
      <c r="F136" s="10">
        <v>469</v>
      </c>
      <c r="G136" s="12">
        <v>1132433</v>
      </c>
      <c r="H136" s="13">
        <v>24</v>
      </c>
      <c r="I136" s="10">
        <v>12</v>
      </c>
      <c r="J136" s="10" t="s">
        <v>10</v>
      </c>
      <c r="K136" s="14">
        <v>0.28000000000000003</v>
      </c>
      <c r="L136" s="10" t="s">
        <v>18</v>
      </c>
      <c r="M136" s="10" t="s">
        <v>3</v>
      </c>
      <c r="N136" s="10">
        <v>0</v>
      </c>
      <c r="O136" s="10" t="str">
        <f t="shared" si="4"/>
        <v>Poor</v>
      </c>
      <c r="P136" s="10" t="str">
        <f t="shared" si="5"/>
        <v>Medium</v>
      </c>
    </row>
    <row r="137" spans="1:16" x14ac:dyDescent="0.25">
      <c r="A137" s="9" t="s">
        <v>185</v>
      </c>
      <c r="B137" s="15">
        <v>45995</v>
      </c>
      <c r="C137" s="9">
        <v>60</v>
      </c>
      <c r="D137" s="9" t="s">
        <v>17</v>
      </c>
      <c r="E137" s="16">
        <v>1933678</v>
      </c>
      <c r="F137" s="9">
        <v>513</v>
      </c>
      <c r="G137" s="16">
        <v>1516784</v>
      </c>
      <c r="H137" s="17">
        <v>24</v>
      </c>
      <c r="I137" s="9">
        <v>60</v>
      </c>
      <c r="J137" s="9" t="s">
        <v>11</v>
      </c>
      <c r="K137" s="18">
        <v>0.11</v>
      </c>
      <c r="L137" s="9" t="s">
        <v>19</v>
      </c>
      <c r="M137" s="9" t="s">
        <v>2</v>
      </c>
      <c r="N137" s="9">
        <v>1</v>
      </c>
      <c r="O137" s="9" t="str">
        <f t="shared" si="4"/>
        <v>Poor</v>
      </c>
      <c r="P137" s="9" t="str">
        <f t="shared" si="5"/>
        <v>Low</v>
      </c>
    </row>
    <row r="138" spans="1:16" x14ac:dyDescent="0.25">
      <c r="A138" s="10" t="s">
        <v>186</v>
      </c>
      <c r="B138" s="11">
        <v>45426</v>
      </c>
      <c r="C138" s="10">
        <v>56</v>
      </c>
      <c r="D138" s="10" t="s">
        <v>16</v>
      </c>
      <c r="E138" s="12">
        <v>2172374</v>
      </c>
      <c r="F138" s="10">
        <v>791</v>
      </c>
      <c r="G138" s="12">
        <v>623432</v>
      </c>
      <c r="H138" s="13">
        <v>18</v>
      </c>
      <c r="I138" s="10">
        <v>36</v>
      </c>
      <c r="J138" s="10" t="s">
        <v>9</v>
      </c>
      <c r="K138" s="14">
        <v>0.11</v>
      </c>
      <c r="L138" s="10" t="s">
        <v>18</v>
      </c>
      <c r="M138" s="10" t="s">
        <v>5</v>
      </c>
      <c r="N138" s="10">
        <v>0</v>
      </c>
      <c r="O138" s="10" t="str">
        <f t="shared" si="4"/>
        <v>Excellent</v>
      </c>
      <c r="P138" s="10" t="str">
        <f t="shared" si="5"/>
        <v>Low</v>
      </c>
    </row>
    <row r="139" spans="1:16" x14ac:dyDescent="0.25">
      <c r="A139" s="9" t="s">
        <v>187</v>
      </c>
      <c r="B139" s="15">
        <v>45213</v>
      </c>
      <c r="C139" s="9">
        <v>47</v>
      </c>
      <c r="D139" s="9" t="s">
        <v>16</v>
      </c>
      <c r="E139" s="16">
        <v>823313</v>
      </c>
      <c r="F139" s="9">
        <v>370</v>
      </c>
      <c r="G139" s="16">
        <v>1107137</v>
      </c>
      <c r="H139" s="17">
        <v>23</v>
      </c>
      <c r="I139" s="9">
        <v>12</v>
      </c>
      <c r="J139" s="9" t="s">
        <v>11</v>
      </c>
      <c r="K139" s="18">
        <v>0.6</v>
      </c>
      <c r="L139" s="9" t="s">
        <v>21</v>
      </c>
      <c r="M139" s="9" t="s">
        <v>3</v>
      </c>
      <c r="N139" s="9">
        <v>0</v>
      </c>
      <c r="O139" s="9" t="str">
        <f t="shared" si="4"/>
        <v>Poor</v>
      </c>
      <c r="P139" s="9" t="str">
        <f t="shared" si="5"/>
        <v>High</v>
      </c>
    </row>
    <row r="140" spans="1:16" x14ac:dyDescent="0.25">
      <c r="A140" s="10" t="s">
        <v>188</v>
      </c>
      <c r="B140" s="11">
        <v>45327</v>
      </c>
      <c r="C140" s="10">
        <v>22</v>
      </c>
      <c r="D140" s="10" t="s">
        <v>16</v>
      </c>
      <c r="E140" s="12">
        <v>283741</v>
      </c>
      <c r="F140" s="10">
        <v>780</v>
      </c>
      <c r="G140" s="12">
        <v>1165828</v>
      </c>
      <c r="H140" s="13">
        <v>23</v>
      </c>
      <c r="I140" s="10">
        <v>12</v>
      </c>
      <c r="J140" s="10" t="s">
        <v>14</v>
      </c>
      <c r="K140" s="14">
        <v>0.33</v>
      </c>
      <c r="L140" s="10" t="s">
        <v>22</v>
      </c>
      <c r="M140" s="10" t="s">
        <v>3</v>
      </c>
      <c r="N140" s="10">
        <v>0</v>
      </c>
      <c r="O140" s="10" t="str">
        <f t="shared" si="4"/>
        <v>Excellent</v>
      </c>
      <c r="P140" s="10" t="str">
        <f t="shared" si="5"/>
        <v>Medium</v>
      </c>
    </row>
    <row r="141" spans="1:16" x14ac:dyDescent="0.25">
      <c r="A141" s="9" t="s">
        <v>189</v>
      </c>
      <c r="B141" s="15">
        <v>45755</v>
      </c>
      <c r="C141" s="9">
        <v>38</v>
      </c>
      <c r="D141" s="9" t="s">
        <v>9</v>
      </c>
      <c r="E141" s="16">
        <v>980943</v>
      </c>
      <c r="F141" s="9">
        <v>457</v>
      </c>
      <c r="G141" s="16">
        <v>838261</v>
      </c>
      <c r="H141" s="17">
        <v>12</v>
      </c>
      <c r="I141" s="9">
        <v>36</v>
      </c>
      <c r="J141" s="9" t="s">
        <v>14</v>
      </c>
      <c r="K141" s="18">
        <v>0.6</v>
      </c>
      <c r="L141" s="9" t="s">
        <v>21</v>
      </c>
      <c r="M141" s="9" t="s">
        <v>3</v>
      </c>
      <c r="N141" s="9">
        <v>1</v>
      </c>
      <c r="O141" s="9" t="str">
        <f t="shared" si="4"/>
        <v>Poor</v>
      </c>
      <c r="P141" s="9" t="str">
        <f t="shared" si="5"/>
        <v>High</v>
      </c>
    </row>
    <row r="142" spans="1:16" x14ac:dyDescent="0.25">
      <c r="A142" s="10" t="s">
        <v>190</v>
      </c>
      <c r="B142" s="11">
        <v>45051</v>
      </c>
      <c r="C142" s="10">
        <v>60</v>
      </c>
      <c r="D142" s="10" t="s">
        <v>17</v>
      </c>
      <c r="E142" s="12">
        <v>1991410</v>
      </c>
      <c r="F142" s="10">
        <v>753</v>
      </c>
      <c r="G142" s="12">
        <v>1317762</v>
      </c>
      <c r="H142" s="13">
        <v>9</v>
      </c>
      <c r="I142" s="10">
        <v>60</v>
      </c>
      <c r="J142" s="10" t="s">
        <v>14</v>
      </c>
      <c r="K142" s="14">
        <v>0.15</v>
      </c>
      <c r="L142" s="10" t="s">
        <v>18</v>
      </c>
      <c r="M142" s="10" t="s">
        <v>2</v>
      </c>
      <c r="N142" s="10">
        <v>0</v>
      </c>
      <c r="O142" s="10" t="str">
        <f t="shared" si="4"/>
        <v>Excellent</v>
      </c>
      <c r="P142" s="10" t="str">
        <f t="shared" si="5"/>
        <v>Low</v>
      </c>
    </row>
    <row r="143" spans="1:16" x14ac:dyDescent="0.25">
      <c r="A143" s="9" t="s">
        <v>191</v>
      </c>
      <c r="B143" s="15">
        <v>45422</v>
      </c>
      <c r="C143" s="9">
        <v>30</v>
      </c>
      <c r="D143" s="9" t="s">
        <v>9</v>
      </c>
      <c r="E143" s="16">
        <v>1033597</v>
      </c>
      <c r="F143" s="9">
        <v>742</v>
      </c>
      <c r="G143" s="16">
        <v>857478</v>
      </c>
      <c r="H143" s="17">
        <v>15</v>
      </c>
      <c r="I143" s="9">
        <v>24</v>
      </c>
      <c r="J143" s="9" t="s">
        <v>13</v>
      </c>
      <c r="K143" s="18">
        <v>0.51</v>
      </c>
      <c r="L143" s="9" t="s">
        <v>20</v>
      </c>
      <c r="M143" s="9" t="s">
        <v>5</v>
      </c>
      <c r="N143" s="9">
        <v>0</v>
      </c>
      <c r="O143" s="9" t="str">
        <f t="shared" si="4"/>
        <v>Excellent</v>
      </c>
      <c r="P143" s="9" t="str">
        <f t="shared" si="5"/>
        <v>High</v>
      </c>
    </row>
    <row r="144" spans="1:16" x14ac:dyDescent="0.25">
      <c r="A144" s="10" t="s">
        <v>192</v>
      </c>
      <c r="B144" s="11">
        <v>45996</v>
      </c>
      <c r="C144" s="10">
        <v>56</v>
      </c>
      <c r="D144" s="10" t="s">
        <v>9</v>
      </c>
      <c r="E144" s="12">
        <v>1204896</v>
      </c>
      <c r="F144" s="10">
        <v>531</v>
      </c>
      <c r="G144" s="12">
        <v>1691657</v>
      </c>
      <c r="H144" s="13">
        <v>13</v>
      </c>
      <c r="I144" s="10">
        <v>12</v>
      </c>
      <c r="J144" s="10" t="s">
        <v>12</v>
      </c>
      <c r="K144" s="14">
        <v>0.27</v>
      </c>
      <c r="L144" s="10" t="s">
        <v>21</v>
      </c>
      <c r="M144" s="10" t="s">
        <v>5</v>
      </c>
      <c r="N144" s="10">
        <v>0</v>
      </c>
      <c r="O144" s="10" t="str">
        <f t="shared" si="4"/>
        <v>Poor</v>
      </c>
      <c r="P144" s="10" t="str">
        <f t="shared" si="5"/>
        <v>Medium</v>
      </c>
    </row>
    <row r="145" spans="1:16" x14ac:dyDescent="0.25">
      <c r="A145" s="9" t="s">
        <v>193</v>
      </c>
      <c r="B145" s="15">
        <v>45301</v>
      </c>
      <c r="C145" s="9">
        <v>63</v>
      </c>
      <c r="D145" s="9" t="s">
        <v>16</v>
      </c>
      <c r="E145" s="16">
        <v>927339</v>
      </c>
      <c r="F145" s="9">
        <v>481</v>
      </c>
      <c r="G145" s="16">
        <v>768098</v>
      </c>
      <c r="H145" s="17">
        <v>7</v>
      </c>
      <c r="I145" s="9">
        <v>12</v>
      </c>
      <c r="J145" s="9" t="s">
        <v>13</v>
      </c>
      <c r="K145" s="18">
        <v>0.56999999999999995</v>
      </c>
      <c r="L145" s="9" t="s">
        <v>20</v>
      </c>
      <c r="M145" s="9" t="s">
        <v>5</v>
      </c>
      <c r="N145" s="9">
        <v>0</v>
      </c>
      <c r="O145" s="9" t="str">
        <f t="shared" si="4"/>
        <v>Poor</v>
      </c>
      <c r="P145" s="9" t="str">
        <f t="shared" si="5"/>
        <v>High</v>
      </c>
    </row>
    <row r="146" spans="1:16" x14ac:dyDescent="0.25">
      <c r="A146" s="10" t="s">
        <v>194</v>
      </c>
      <c r="B146" s="11">
        <v>45936</v>
      </c>
      <c r="C146" s="10">
        <v>32</v>
      </c>
      <c r="D146" s="10" t="s">
        <v>9</v>
      </c>
      <c r="E146" s="12">
        <v>1123246</v>
      </c>
      <c r="F146" s="10">
        <v>380</v>
      </c>
      <c r="G146" s="12">
        <v>1377724</v>
      </c>
      <c r="H146" s="13">
        <v>17</v>
      </c>
      <c r="I146" s="10">
        <v>12</v>
      </c>
      <c r="J146" s="10" t="s">
        <v>11</v>
      </c>
      <c r="K146" s="14">
        <v>0.52</v>
      </c>
      <c r="L146" s="10" t="s">
        <v>20</v>
      </c>
      <c r="M146" s="10" t="s">
        <v>4</v>
      </c>
      <c r="N146" s="10">
        <v>1</v>
      </c>
      <c r="O146" s="10" t="str">
        <f t="shared" si="4"/>
        <v>Poor</v>
      </c>
      <c r="P146" s="10" t="str">
        <f t="shared" si="5"/>
        <v>High</v>
      </c>
    </row>
    <row r="147" spans="1:16" x14ac:dyDescent="0.25">
      <c r="A147" s="9" t="s">
        <v>195</v>
      </c>
      <c r="B147" s="15">
        <v>45903</v>
      </c>
      <c r="C147" s="9">
        <v>21</v>
      </c>
      <c r="D147" s="9" t="s">
        <v>16</v>
      </c>
      <c r="E147" s="16">
        <v>1504868</v>
      </c>
      <c r="F147" s="9">
        <v>363</v>
      </c>
      <c r="G147" s="16">
        <v>1075236</v>
      </c>
      <c r="H147" s="17">
        <v>16</v>
      </c>
      <c r="I147" s="9">
        <v>24</v>
      </c>
      <c r="J147" s="9" t="s">
        <v>9</v>
      </c>
      <c r="K147" s="18">
        <v>0.22</v>
      </c>
      <c r="L147" s="9" t="s">
        <v>20</v>
      </c>
      <c r="M147" s="9" t="s">
        <v>4</v>
      </c>
      <c r="N147" s="9">
        <v>0</v>
      </c>
      <c r="O147" s="9" t="str">
        <f t="shared" si="4"/>
        <v>Poor</v>
      </c>
      <c r="P147" s="9" t="str">
        <f t="shared" si="5"/>
        <v>Medium</v>
      </c>
    </row>
    <row r="148" spans="1:16" x14ac:dyDescent="0.25">
      <c r="A148" s="10" t="s">
        <v>196</v>
      </c>
      <c r="B148" s="11">
        <v>45300</v>
      </c>
      <c r="C148" s="10">
        <v>26</v>
      </c>
      <c r="D148" s="10" t="s">
        <v>9</v>
      </c>
      <c r="E148" s="12">
        <v>1637964</v>
      </c>
      <c r="F148" s="10">
        <v>426</v>
      </c>
      <c r="G148" s="12">
        <v>52258</v>
      </c>
      <c r="H148" s="13">
        <v>23</v>
      </c>
      <c r="I148" s="10">
        <v>60</v>
      </c>
      <c r="J148" s="10" t="s">
        <v>11</v>
      </c>
      <c r="K148" s="14">
        <v>0.49</v>
      </c>
      <c r="L148" s="10" t="s">
        <v>19</v>
      </c>
      <c r="M148" s="10" t="s">
        <v>2</v>
      </c>
      <c r="N148" s="10">
        <v>0</v>
      </c>
      <c r="O148" s="10" t="str">
        <f t="shared" si="4"/>
        <v>Poor</v>
      </c>
      <c r="P148" s="10" t="str">
        <f t="shared" si="5"/>
        <v>High</v>
      </c>
    </row>
    <row r="149" spans="1:16" x14ac:dyDescent="0.25">
      <c r="A149" s="9" t="s">
        <v>197</v>
      </c>
      <c r="B149" s="15">
        <v>45918</v>
      </c>
      <c r="C149" s="9">
        <v>34</v>
      </c>
      <c r="D149" s="9" t="s">
        <v>9</v>
      </c>
      <c r="E149" s="16">
        <v>338841</v>
      </c>
      <c r="F149" s="9">
        <v>338</v>
      </c>
      <c r="G149" s="16">
        <v>154183</v>
      </c>
      <c r="H149" s="17">
        <v>18</v>
      </c>
      <c r="I149" s="9">
        <v>24</v>
      </c>
      <c r="J149" s="9" t="s">
        <v>14</v>
      </c>
      <c r="K149" s="18">
        <v>0.32</v>
      </c>
      <c r="L149" s="9" t="s">
        <v>22</v>
      </c>
      <c r="M149" s="9" t="s">
        <v>4</v>
      </c>
      <c r="N149" s="9">
        <v>0</v>
      </c>
      <c r="O149" s="9" t="str">
        <f t="shared" si="4"/>
        <v>Poor</v>
      </c>
      <c r="P149" s="9" t="str">
        <f t="shared" si="5"/>
        <v>Medium</v>
      </c>
    </row>
    <row r="150" spans="1:16" x14ac:dyDescent="0.25">
      <c r="A150" s="10" t="s">
        <v>198</v>
      </c>
      <c r="B150" s="11">
        <v>45431</v>
      </c>
      <c r="C150" s="10">
        <v>55</v>
      </c>
      <c r="D150" s="10" t="s">
        <v>17</v>
      </c>
      <c r="E150" s="12">
        <v>383729</v>
      </c>
      <c r="F150" s="10">
        <v>441</v>
      </c>
      <c r="G150" s="12">
        <v>377720</v>
      </c>
      <c r="H150" s="13">
        <v>17</v>
      </c>
      <c r="I150" s="10">
        <v>24</v>
      </c>
      <c r="J150" s="10" t="s">
        <v>9</v>
      </c>
      <c r="K150" s="14">
        <v>0.34</v>
      </c>
      <c r="L150" s="10" t="s">
        <v>22</v>
      </c>
      <c r="M150" s="10" t="s">
        <v>4</v>
      </c>
      <c r="N150" s="10">
        <v>0</v>
      </c>
      <c r="O150" s="10" t="str">
        <f t="shared" si="4"/>
        <v>Poor</v>
      </c>
      <c r="P150" s="10" t="str">
        <f t="shared" si="5"/>
        <v>Medium</v>
      </c>
    </row>
    <row r="151" spans="1:16" x14ac:dyDescent="0.25">
      <c r="A151" s="9" t="s">
        <v>199</v>
      </c>
      <c r="B151" s="15">
        <v>45020</v>
      </c>
      <c r="C151" s="9">
        <v>39</v>
      </c>
      <c r="D151" s="9" t="s">
        <v>9</v>
      </c>
      <c r="E151" s="16">
        <v>300551</v>
      </c>
      <c r="F151" s="9">
        <v>708</v>
      </c>
      <c r="G151" s="16">
        <v>390890</v>
      </c>
      <c r="H151" s="17">
        <v>10</v>
      </c>
      <c r="I151" s="9">
        <v>12</v>
      </c>
      <c r="J151" s="9" t="s">
        <v>13</v>
      </c>
      <c r="K151" s="18">
        <v>0.2</v>
      </c>
      <c r="L151" s="9" t="s">
        <v>21</v>
      </c>
      <c r="M151" s="9" t="s">
        <v>4</v>
      </c>
      <c r="N151" s="9">
        <v>0</v>
      </c>
      <c r="O151" s="9" t="str">
        <f t="shared" si="4"/>
        <v>Good</v>
      </c>
      <c r="P151" s="9" t="str">
        <f t="shared" si="5"/>
        <v>Medium</v>
      </c>
    </row>
    <row r="152" spans="1:16" x14ac:dyDescent="0.25">
      <c r="A152" s="10" t="s">
        <v>200</v>
      </c>
      <c r="B152" s="11">
        <v>45963</v>
      </c>
      <c r="C152" s="10">
        <v>49</v>
      </c>
      <c r="D152" s="10" t="s">
        <v>9</v>
      </c>
      <c r="E152" s="12">
        <v>341717</v>
      </c>
      <c r="F152" s="10">
        <v>655</v>
      </c>
      <c r="G152" s="12">
        <v>1022602</v>
      </c>
      <c r="H152" s="13">
        <v>24</v>
      </c>
      <c r="I152" s="10">
        <v>36</v>
      </c>
      <c r="J152" s="10" t="s">
        <v>14</v>
      </c>
      <c r="K152" s="14">
        <v>0.46</v>
      </c>
      <c r="L152" s="10" t="s">
        <v>22</v>
      </c>
      <c r="M152" s="10" t="s">
        <v>2</v>
      </c>
      <c r="N152" s="10">
        <v>0</v>
      </c>
      <c r="O152" s="10" t="str">
        <f t="shared" si="4"/>
        <v>Fair</v>
      </c>
      <c r="P152" s="10" t="str">
        <f t="shared" si="5"/>
        <v>High</v>
      </c>
    </row>
    <row r="153" spans="1:16" x14ac:dyDescent="0.25">
      <c r="A153" s="9" t="s">
        <v>201</v>
      </c>
      <c r="B153" s="15">
        <v>45158</v>
      </c>
      <c r="C153" s="9">
        <v>40</v>
      </c>
      <c r="D153" s="9" t="s">
        <v>17</v>
      </c>
      <c r="E153" s="16">
        <v>1092899</v>
      </c>
      <c r="F153" s="9">
        <v>791</v>
      </c>
      <c r="G153" s="16">
        <v>546984</v>
      </c>
      <c r="H153" s="17">
        <v>24</v>
      </c>
      <c r="I153" s="9">
        <v>60</v>
      </c>
      <c r="J153" s="9" t="s">
        <v>11</v>
      </c>
      <c r="K153" s="18">
        <v>0.52</v>
      </c>
      <c r="L153" s="9" t="s">
        <v>18</v>
      </c>
      <c r="M153" s="9" t="s">
        <v>3</v>
      </c>
      <c r="N153" s="9">
        <v>0</v>
      </c>
      <c r="O153" s="9" t="str">
        <f t="shared" si="4"/>
        <v>Excellent</v>
      </c>
      <c r="P153" s="9" t="str">
        <f t="shared" si="5"/>
        <v>High</v>
      </c>
    </row>
    <row r="154" spans="1:16" x14ac:dyDescent="0.25">
      <c r="A154" s="10" t="s">
        <v>202</v>
      </c>
      <c r="B154" s="11">
        <v>45624</v>
      </c>
      <c r="C154" s="10">
        <v>22</v>
      </c>
      <c r="D154" s="10" t="s">
        <v>16</v>
      </c>
      <c r="E154" s="12">
        <v>889753</v>
      </c>
      <c r="F154" s="10">
        <v>829</v>
      </c>
      <c r="G154" s="12">
        <v>1328093</v>
      </c>
      <c r="H154" s="13">
        <v>24</v>
      </c>
      <c r="I154" s="10">
        <v>24</v>
      </c>
      <c r="J154" s="10" t="s">
        <v>9</v>
      </c>
      <c r="K154" s="14">
        <v>0.36</v>
      </c>
      <c r="L154" s="10" t="s">
        <v>20</v>
      </c>
      <c r="M154" s="10" t="s">
        <v>2</v>
      </c>
      <c r="N154" s="10">
        <v>0</v>
      </c>
      <c r="O154" s="10" t="str">
        <f t="shared" si="4"/>
        <v>Excellent</v>
      </c>
      <c r="P154" s="10" t="str">
        <f t="shared" si="5"/>
        <v>Medium</v>
      </c>
    </row>
    <row r="155" spans="1:16" x14ac:dyDescent="0.25">
      <c r="A155" s="9" t="s">
        <v>203</v>
      </c>
      <c r="B155" s="15">
        <v>45388</v>
      </c>
      <c r="C155" s="9">
        <v>41</v>
      </c>
      <c r="D155" s="9" t="s">
        <v>16</v>
      </c>
      <c r="E155" s="16">
        <v>973025</v>
      </c>
      <c r="F155" s="9">
        <v>546</v>
      </c>
      <c r="G155" s="16">
        <v>722712</v>
      </c>
      <c r="H155" s="17">
        <v>22</v>
      </c>
      <c r="I155" s="9">
        <v>12</v>
      </c>
      <c r="J155" s="9" t="s">
        <v>11</v>
      </c>
      <c r="K155" s="18">
        <v>0.38</v>
      </c>
      <c r="L155" s="9" t="s">
        <v>20</v>
      </c>
      <c r="M155" s="9" t="s">
        <v>2</v>
      </c>
      <c r="N155" s="9">
        <v>0</v>
      </c>
      <c r="O155" s="9" t="str">
        <f t="shared" si="4"/>
        <v>Poor</v>
      </c>
      <c r="P155" s="9" t="str">
        <f t="shared" si="5"/>
        <v>Medium</v>
      </c>
    </row>
    <row r="156" spans="1:16" x14ac:dyDescent="0.25">
      <c r="A156" s="10" t="s">
        <v>204</v>
      </c>
      <c r="B156" s="11">
        <v>45922</v>
      </c>
      <c r="C156" s="10">
        <v>41</v>
      </c>
      <c r="D156" s="10" t="s">
        <v>9</v>
      </c>
      <c r="E156" s="12">
        <v>2380607</v>
      </c>
      <c r="F156" s="10">
        <v>354</v>
      </c>
      <c r="G156" s="12">
        <v>681720</v>
      </c>
      <c r="H156" s="13">
        <v>12</v>
      </c>
      <c r="I156" s="10">
        <v>12</v>
      </c>
      <c r="J156" s="10" t="s">
        <v>10</v>
      </c>
      <c r="K156" s="14">
        <v>0.53</v>
      </c>
      <c r="L156" s="10" t="s">
        <v>18</v>
      </c>
      <c r="M156" s="10" t="s">
        <v>2</v>
      </c>
      <c r="N156" s="10">
        <v>0</v>
      </c>
      <c r="O156" s="10" t="str">
        <f t="shared" si="4"/>
        <v>Poor</v>
      </c>
      <c r="P156" s="10" t="str">
        <f t="shared" si="5"/>
        <v>High</v>
      </c>
    </row>
    <row r="157" spans="1:16" x14ac:dyDescent="0.25">
      <c r="A157" s="9" t="s">
        <v>205</v>
      </c>
      <c r="B157" s="15">
        <v>45573</v>
      </c>
      <c r="C157" s="9">
        <v>38</v>
      </c>
      <c r="D157" s="9" t="s">
        <v>16</v>
      </c>
      <c r="E157" s="16">
        <v>1369242</v>
      </c>
      <c r="F157" s="9">
        <v>617</v>
      </c>
      <c r="G157" s="16">
        <v>88941</v>
      </c>
      <c r="H157" s="17">
        <v>13</v>
      </c>
      <c r="I157" s="9">
        <v>24</v>
      </c>
      <c r="J157" s="9" t="s">
        <v>10</v>
      </c>
      <c r="K157" s="18">
        <v>0.56999999999999995</v>
      </c>
      <c r="L157" s="9" t="s">
        <v>19</v>
      </c>
      <c r="M157" s="9" t="s">
        <v>5</v>
      </c>
      <c r="N157" s="9">
        <v>0</v>
      </c>
      <c r="O157" s="9" t="str">
        <f t="shared" si="4"/>
        <v>Fair</v>
      </c>
      <c r="P157" s="9" t="str">
        <f t="shared" si="5"/>
        <v>High</v>
      </c>
    </row>
    <row r="158" spans="1:16" x14ac:dyDescent="0.25">
      <c r="A158" s="10" t="s">
        <v>206</v>
      </c>
      <c r="B158" s="11">
        <v>45347</v>
      </c>
      <c r="C158" s="10">
        <v>48</v>
      </c>
      <c r="D158" s="10" t="s">
        <v>17</v>
      </c>
      <c r="E158" s="12">
        <v>1660198</v>
      </c>
      <c r="F158" s="10">
        <v>468</v>
      </c>
      <c r="G158" s="12">
        <v>444014</v>
      </c>
      <c r="H158" s="13">
        <v>20</v>
      </c>
      <c r="I158" s="10">
        <v>36</v>
      </c>
      <c r="J158" s="10" t="s">
        <v>12</v>
      </c>
      <c r="K158" s="14">
        <v>0.23</v>
      </c>
      <c r="L158" s="10" t="s">
        <v>19</v>
      </c>
      <c r="M158" s="10" t="s">
        <v>5</v>
      </c>
      <c r="N158" s="10">
        <v>0</v>
      </c>
      <c r="O158" s="10" t="str">
        <f t="shared" si="4"/>
        <v>Poor</v>
      </c>
      <c r="P158" s="10" t="str">
        <f t="shared" si="5"/>
        <v>Medium</v>
      </c>
    </row>
    <row r="159" spans="1:16" x14ac:dyDescent="0.25">
      <c r="A159" s="9" t="s">
        <v>207</v>
      </c>
      <c r="B159" s="15">
        <v>45777</v>
      </c>
      <c r="C159" s="9">
        <v>28</v>
      </c>
      <c r="D159" s="9" t="s">
        <v>9</v>
      </c>
      <c r="E159" s="16">
        <v>571937</v>
      </c>
      <c r="F159" s="9">
        <v>733</v>
      </c>
      <c r="G159" s="16">
        <v>1681313</v>
      </c>
      <c r="H159" s="17">
        <v>20</v>
      </c>
      <c r="I159" s="9">
        <v>36</v>
      </c>
      <c r="J159" s="9" t="s">
        <v>14</v>
      </c>
      <c r="K159" s="18">
        <v>0.22</v>
      </c>
      <c r="L159" s="9" t="s">
        <v>20</v>
      </c>
      <c r="M159" s="9" t="s">
        <v>5</v>
      </c>
      <c r="N159" s="9">
        <v>0</v>
      </c>
      <c r="O159" s="9" t="str">
        <f t="shared" si="4"/>
        <v>Good</v>
      </c>
      <c r="P159" s="9" t="str">
        <f t="shared" si="5"/>
        <v>Medium</v>
      </c>
    </row>
    <row r="160" spans="1:16" x14ac:dyDescent="0.25">
      <c r="A160" s="10" t="s">
        <v>208</v>
      </c>
      <c r="B160" s="11">
        <v>45571</v>
      </c>
      <c r="C160" s="10">
        <v>59</v>
      </c>
      <c r="D160" s="10" t="s">
        <v>16</v>
      </c>
      <c r="E160" s="12">
        <v>1354521</v>
      </c>
      <c r="F160" s="10">
        <v>426</v>
      </c>
      <c r="G160" s="12">
        <v>1770038</v>
      </c>
      <c r="H160" s="13">
        <v>6</v>
      </c>
      <c r="I160" s="10">
        <v>12</v>
      </c>
      <c r="J160" s="10" t="s">
        <v>11</v>
      </c>
      <c r="K160" s="14">
        <v>0.3</v>
      </c>
      <c r="L160" s="10" t="s">
        <v>20</v>
      </c>
      <c r="M160" s="10" t="s">
        <v>3</v>
      </c>
      <c r="N160" s="10">
        <v>1</v>
      </c>
      <c r="O160" s="10" t="str">
        <f t="shared" si="4"/>
        <v>Poor</v>
      </c>
      <c r="P160" s="10" t="str">
        <f t="shared" si="5"/>
        <v>Medium</v>
      </c>
    </row>
    <row r="161" spans="1:16" x14ac:dyDescent="0.25">
      <c r="A161" s="9" t="s">
        <v>209</v>
      </c>
      <c r="B161" s="15">
        <v>44974</v>
      </c>
      <c r="C161" s="9">
        <v>62</v>
      </c>
      <c r="D161" s="9" t="s">
        <v>17</v>
      </c>
      <c r="E161" s="16">
        <v>575901</v>
      </c>
      <c r="F161" s="9">
        <v>511</v>
      </c>
      <c r="G161" s="16">
        <v>860186</v>
      </c>
      <c r="H161" s="17">
        <v>9</v>
      </c>
      <c r="I161" s="9">
        <v>12</v>
      </c>
      <c r="J161" s="9" t="s">
        <v>12</v>
      </c>
      <c r="K161" s="18">
        <v>0.5</v>
      </c>
      <c r="L161" s="9" t="s">
        <v>21</v>
      </c>
      <c r="M161" s="9" t="s">
        <v>2</v>
      </c>
      <c r="N161" s="9">
        <v>1</v>
      </c>
      <c r="O161" s="9" t="str">
        <f t="shared" si="4"/>
        <v>Poor</v>
      </c>
      <c r="P161" s="9" t="str">
        <f t="shared" si="5"/>
        <v>High</v>
      </c>
    </row>
    <row r="162" spans="1:16" x14ac:dyDescent="0.25">
      <c r="A162" s="10" t="s">
        <v>210</v>
      </c>
      <c r="B162" s="11">
        <v>45167</v>
      </c>
      <c r="C162" s="10">
        <v>44</v>
      </c>
      <c r="D162" s="10" t="s">
        <v>17</v>
      </c>
      <c r="E162" s="12">
        <v>1212359</v>
      </c>
      <c r="F162" s="10">
        <v>633</v>
      </c>
      <c r="G162" s="12">
        <v>358019</v>
      </c>
      <c r="H162" s="13">
        <v>11</v>
      </c>
      <c r="I162" s="10">
        <v>36</v>
      </c>
      <c r="J162" s="10" t="s">
        <v>13</v>
      </c>
      <c r="K162" s="14">
        <v>0.56000000000000005</v>
      </c>
      <c r="L162" s="10" t="s">
        <v>19</v>
      </c>
      <c r="M162" s="10" t="s">
        <v>4</v>
      </c>
      <c r="N162" s="10">
        <v>0</v>
      </c>
      <c r="O162" s="10" t="str">
        <f t="shared" si="4"/>
        <v>Fair</v>
      </c>
      <c r="P162" s="10" t="str">
        <f t="shared" si="5"/>
        <v>High</v>
      </c>
    </row>
    <row r="163" spans="1:16" x14ac:dyDescent="0.25">
      <c r="A163" s="9" t="s">
        <v>211</v>
      </c>
      <c r="B163" s="15">
        <v>45426</v>
      </c>
      <c r="C163" s="9">
        <v>56</v>
      </c>
      <c r="D163" s="9" t="s">
        <v>9</v>
      </c>
      <c r="E163" s="16">
        <v>1345379</v>
      </c>
      <c r="F163" s="9">
        <v>720</v>
      </c>
      <c r="G163" s="16">
        <v>912530</v>
      </c>
      <c r="H163" s="17">
        <v>21</v>
      </c>
      <c r="I163" s="9">
        <v>60</v>
      </c>
      <c r="J163" s="9" t="s">
        <v>9</v>
      </c>
      <c r="K163" s="18">
        <v>0.19</v>
      </c>
      <c r="L163" s="9" t="s">
        <v>18</v>
      </c>
      <c r="M163" s="9" t="s">
        <v>3</v>
      </c>
      <c r="N163" s="9">
        <v>0</v>
      </c>
      <c r="O163" s="9" t="str">
        <f t="shared" si="4"/>
        <v>Good</v>
      </c>
      <c r="P163" s="9" t="str">
        <f t="shared" si="5"/>
        <v>Low</v>
      </c>
    </row>
    <row r="164" spans="1:16" x14ac:dyDescent="0.25">
      <c r="A164" s="10" t="s">
        <v>212</v>
      </c>
      <c r="B164" s="11">
        <v>45760</v>
      </c>
      <c r="C164" s="10">
        <v>22</v>
      </c>
      <c r="D164" s="10" t="s">
        <v>16</v>
      </c>
      <c r="E164" s="12">
        <v>1394639</v>
      </c>
      <c r="F164" s="10">
        <v>372</v>
      </c>
      <c r="G164" s="12">
        <v>1692656</v>
      </c>
      <c r="H164" s="13">
        <v>14</v>
      </c>
      <c r="I164" s="10">
        <v>24</v>
      </c>
      <c r="J164" s="10" t="s">
        <v>14</v>
      </c>
      <c r="K164" s="14">
        <v>0.42</v>
      </c>
      <c r="L164" s="10" t="s">
        <v>22</v>
      </c>
      <c r="M164" s="10" t="s">
        <v>4</v>
      </c>
      <c r="N164" s="10">
        <v>1</v>
      </c>
      <c r="O164" s="10" t="str">
        <f t="shared" si="4"/>
        <v>Poor</v>
      </c>
      <c r="P164" s="10" t="str">
        <f t="shared" si="5"/>
        <v>High</v>
      </c>
    </row>
    <row r="165" spans="1:16" x14ac:dyDescent="0.25">
      <c r="A165" s="9" t="s">
        <v>213</v>
      </c>
      <c r="B165" s="15">
        <v>45034</v>
      </c>
      <c r="C165" s="9">
        <v>43</v>
      </c>
      <c r="D165" s="9" t="s">
        <v>9</v>
      </c>
      <c r="E165" s="16">
        <v>1815760</v>
      </c>
      <c r="F165" s="9">
        <v>578</v>
      </c>
      <c r="G165" s="16">
        <v>1576467</v>
      </c>
      <c r="H165" s="17">
        <v>11</v>
      </c>
      <c r="I165" s="9">
        <v>12</v>
      </c>
      <c r="J165" s="9" t="s">
        <v>9</v>
      </c>
      <c r="K165" s="18">
        <v>0.28000000000000003</v>
      </c>
      <c r="L165" s="9" t="s">
        <v>18</v>
      </c>
      <c r="M165" s="9" t="s">
        <v>4</v>
      </c>
      <c r="N165" s="9">
        <v>1</v>
      </c>
      <c r="O165" s="9" t="str">
        <f t="shared" si="4"/>
        <v>Poor</v>
      </c>
      <c r="P165" s="9" t="str">
        <f t="shared" si="5"/>
        <v>Medium</v>
      </c>
    </row>
    <row r="166" spans="1:16" x14ac:dyDescent="0.25">
      <c r="A166" s="10" t="s">
        <v>214</v>
      </c>
      <c r="B166" s="11">
        <v>45081</v>
      </c>
      <c r="C166" s="10">
        <v>32</v>
      </c>
      <c r="D166" s="10" t="s">
        <v>16</v>
      </c>
      <c r="E166" s="12">
        <v>549497</v>
      </c>
      <c r="F166" s="10">
        <v>508</v>
      </c>
      <c r="G166" s="12">
        <v>526375</v>
      </c>
      <c r="H166" s="13">
        <v>20</v>
      </c>
      <c r="I166" s="10">
        <v>24</v>
      </c>
      <c r="J166" s="10" t="s">
        <v>9</v>
      </c>
      <c r="K166" s="14">
        <v>0.23</v>
      </c>
      <c r="L166" s="10" t="s">
        <v>18</v>
      </c>
      <c r="M166" s="10" t="s">
        <v>2</v>
      </c>
      <c r="N166" s="10">
        <v>0</v>
      </c>
      <c r="O166" s="10" t="str">
        <f t="shared" si="4"/>
        <v>Poor</v>
      </c>
      <c r="P166" s="10" t="str">
        <f t="shared" si="5"/>
        <v>Medium</v>
      </c>
    </row>
    <row r="167" spans="1:16" x14ac:dyDescent="0.25">
      <c r="A167" s="9" t="s">
        <v>215</v>
      </c>
      <c r="B167" s="15">
        <v>44990</v>
      </c>
      <c r="C167" s="9">
        <v>39</v>
      </c>
      <c r="D167" s="9" t="s">
        <v>17</v>
      </c>
      <c r="E167" s="16">
        <v>2045890</v>
      </c>
      <c r="F167" s="9">
        <v>609</v>
      </c>
      <c r="G167" s="16">
        <v>779100</v>
      </c>
      <c r="H167" s="17">
        <v>24</v>
      </c>
      <c r="I167" s="9">
        <v>12</v>
      </c>
      <c r="J167" s="9" t="s">
        <v>9</v>
      </c>
      <c r="K167" s="18">
        <v>0.11</v>
      </c>
      <c r="L167" s="9" t="s">
        <v>20</v>
      </c>
      <c r="M167" s="9" t="s">
        <v>2</v>
      </c>
      <c r="N167" s="9">
        <v>0</v>
      </c>
      <c r="O167" s="9" t="str">
        <f t="shared" si="4"/>
        <v>Fair</v>
      </c>
      <c r="P167" s="9" t="str">
        <f t="shared" si="5"/>
        <v>Low</v>
      </c>
    </row>
    <row r="168" spans="1:16" x14ac:dyDescent="0.25">
      <c r="A168" s="10" t="s">
        <v>216</v>
      </c>
      <c r="B168" s="11">
        <v>45641</v>
      </c>
      <c r="C168" s="10">
        <v>65</v>
      </c>
      <c r="D168" s="10" t="s">
        <v>16</v>
      </c>
      <c r="E168" s="12">
        <v>1665674</v>
      </c>
      <c r="F168" s="10">
        <v>406</v>
      </c>
      <c r="G168" s="12">
        <v>1417858</v>
      </c>
      <c r="H168" s="13">
        <v>16</v>
      </c>
      <c r="I168" s="10">
        <v>24</v>
      </c>
      <c r="J168" s="10" t="s">
        <v>12</v>
      </c>
      <c r="K168" s="14">
        <v>0.28999999999999998</v>
      </c>
      <c r="L168" s="10" t="s">
        <v>20</v>
      </c>
      <c r="M168" s="10" t="s">
        <v>5</v>
      </c>
      <c r="N168" s="10">
        <v>0</v>
      </c>
      <c r="O168" s="10" t="str">
        <f t="shared" si="4"/>
        <v>Poor</v>
      </c>
      <c r="P168" s="10" t="str">
        <f t="shared" si="5"/>
        <v>Medium</v>
      </c>
    </row>
    <row r="169" spans="1:16" x14ac:dyDescent="0.25">
      <c r="A169" s="9" t="s">
        <v>217</v>
      </c>
      <c r="B169" s="15">
        <v>45440</v>
      </c>
      <c r="C169" s="9">
        <v>40</v>
      </c>
      <c r="D169" s="9" t="s">
        <v>9</v>
      </c>
      <c r="E169" s="16">
        <v>967542</v>
      </c>
      <c r="F169" s="9">
        <v>497</v>
      </c>
      <c r="G169" s="16">
        <v>1198626</v>
      </c>
      <c r="H169" s="17">
        <v>13</v>
      </c>
      <c r="I169" s="9">
        <v>36</v>
      </c>
      <c r="J169" s="9" t="s">
        <v>9</v>
      </c>
      <c r="K169" s="18">
        <v>0.11</v>
      </c>
      <c r="L169" s="9" t="s">
        <v>19</v>
      </c>
      <c r="M169" s="9" t="s">
        <v>2</v>
      </c>
      <c r="N169" s="9">
        <v>0</v>
      </c>
      <c r="O169" s="9" t="str">
        <f t="shared" si="4"/>
        <v>Poor</v>
      </c>
      <c r="P169" s="9" t="str">
        <f t="shared" si="5"/>
        <v>Low</v>
      </c>
    </row>
    <row r="170" spans="1:16" x14ac:dyDescent="0.25">
      <c r="A170" s="10" t="s">
        <v>218</v>
      </c>
      <c r="B170" s="11">
        <v>45555</v>
      </c>
      <c r="C170" s="10">
        <v>34</v>
      </c>
      <c r="D170" s="10" t="s">
        <v>16</v>
      </c>
      <c r="E170" s="12">
        <v>1512888</v>
      </c>
      <c r="F170" s="10">
        <v>335</v>
      </c>
      <c r="G170" s="12">
        <v>945039</v>
      </c>
      <c r="H170" s="13">
        <v>9</v>
      </c>
      <c r="I170" s="10">
        <v>36</v>
      </c>
      <c r="J170" s="10" t="s">
        <v>14</v>
      </c>
      <c r="K170" s="14">
        <v>0.57999999999999996</v>
      </c>
      <c r="L170" s="10" t="s">
        <v>22</v>
      </c>
      <c r="M170" s="10" t="s">
        <v>3</v>
      </c>
      <c r="N170" s="10">
        <v>1</v>
      </c>
      <c r="O170" s="10" t="str">
        <f t="shared" si="4"/>
        <v>Poor</v>
      </c>
      <c r="P170" s="10" t="str">
        <f t="shared" si="5"/>
        <v>High</v>
      </c>
    </row>
    <row r="171" spans="1:16" x14ac:dyDescent="0.25">
      <c r="A171" s="9" t="s">
        <v>219</v>
      </c>
      <c r="B171" s="15">
        <v>45788</v>
      </c>
      <c r="C171" s="9">
        <v>34</v>
      </c>
      <c r="D171" s="9" t="s">
        <v>9</v>
      </c>
      <c r="E171" s="16">
        <v>765218</v>
      </c>
      <c r="F171" s="9">
        <v>678</v>
      </c>
      <c r="G171" s="16">
        <v>731357</v>
      </c>
      <c r="H171" s="17">
        <v>24</v>
      </c>
      <c r="I171" s="9">
        <v>24</v>
      </c>
      <c r="J171" s="9" t="s">
        <v>14</v>
      </c>
      <c r="K171" s="18">
        <v>0.41</v>
      </c>
      <c r="L171" s="9" t="s">
        <v>18</v>
      </c>
      <c r="M171" s="9" t="s">
        <v>4</v>
      </c>
      <c r="N171" s="9">
        <v>0</v>
      </c>
      <c r="O171" s="9" t="str">
        <f t="shared" si="4"/>
        <v>Good</v>
      </c>
      <c r="P171" s="9" t="str">
        <f t="shared" si="5"/>
        <v>High</v>
      </c>
    </row>
    <row r="172" spans="1:16" x14ac:dyDescent="0.25">
      <c r="A172" s="10" t="s">
        <v>220</v>
      </c>
      <c r="B172" s="11">
        <v>45078</v>
      </c>
      <c r="C172" s="10">
        <v>30</v>
      </c>
      <c r="D172" s="10" t="s">
        <v>9</v>
      </c>
      <c r="E172" s="12">
        <v>1532924</v>
      </c>
      <c r="F172" s="10">
        <v>324</v>
      </c>
      <c r="G172" s="12">
        <v>1466183</v>
      </c>
      <c r="H172" s="13">
        <v>12</v>
      </c>
      <c r="I172" s="10">
        <v>12</v>
      </c>
      <c r="J172" s="10" t="s">
        <v>12</v>
      </c>
      <c r="K172" s="14">
        <v>0.4</v>
      </c>
      <c r="L172" s="10" t="s">
        <v>21</v>
      </c>
      <c r="M172" s="10" t="s">
        <v>2</v>
      </c>
      <c r="N172" s="10">
        <v>0</v>
      </c>
      <c r="O172" s="10" t="str">
        <f t="shared" si="4"/>
        <v>Poor</v>
      </c>
      <c r="P172" s="10" t="str">
        <f t="shared" si="5"/>
        <v>High</v>
      </c>
    </row>
    <row r="173" spans="1:16" x14ac:dyDescent="0.25">
      <c r="A173" s="9" t="s">
        <v>221</v>
      </c>
      <c r="B173" s="15">
        <v>44960</v>
      </c>
      <c r="C173" s="9">
        <v>62</v>
      </c>
      <c r="D173" s="9" t="s">
        <v>17</v>
      </c>
      <c r="E173" s="16">
        <v>1738021</v>
      </c>
      <c r="F173" s="9">
        <v>646</v>
      </c>
      <c r="G173" s="16">
        <v>947191</v>
      </c>
      <c r="H173" s="17">
        <v>12</v>
      </c>
      <c r="I173" s="9">
        <v>36</v>
      </c>
      <c r="J173" s="9" t="s">
        <v>11</v>
      </c>
      <c r="K173" s="18">
        <v>0.52</v>
      </c>
      <c r="L173" s="9" t="s">
        <v>20</v>
      </c>
      <c r="M173" s="9" t="s">
        <v>3</v>
      </c>
      <c r="N173" s="9">
        <v>0</v>
      </c>
      <c r="O173" s="9" t="str">
        <f t="shared" si="4"/>
        <v>Fair</v>
      </c>
      <c r="P173" s="9" t="str">
        <f t="shared" si="5"/>
        <v>High</v>
      </c>
    </row>
    <row r="174" spans="1:16" x14ac:dyDescent="0.25">
      <c r="A174" s="10" t="s">
        <v>222</v>
      </c>
      <c r="B174" s="11">
        <v>45777</v>
      </c>
      <c r="C174" s="10">
        <v>25</v>
      </c>
      <c r="D174" s="10" t="s">
        <v>9</v>
      </c>
      <c r="E174" s="12">
        <v>1064467</v>
      </c>
      <c r="F174" s="10">
        <v>622</v>
      </c>
      <c r="G174" s="12">
        <v>159990</v>
      </c>
      <c r="H174" s="13">
        <v>13</v>
      </c>
      <c r="I174" s="10">
        <v>36</v>
      </c>
      <c r="J174" s="10" t="s">
        <v>13</v>
      </c>
      <c r="K174" s="14">
        <v>0.32</v>
      </c>
      <c r="L174" s="10" t="s">
        <v>21</v>
      </c>
      <c r="M174" s="10" t="s">
        <v>3</v>
      </c>
      <c r="N174" s="10">
        <v>0</v>
      </c>
      <c r="O174" s="10" t="str">
        <f t="shared" si="4"/>
        <v>Fair</v>
      </c>
      <c r="P174" s="10" t="str">
        <f t="shared" si="5"/>
        <v>Medium</v>
      </c>
    </row>
    <row r="175" spans="1:16" x14ac:dyDescent="0.25">
      <c r="A175" s="9" t="s">
        <v>223</v>
      </c>
      <c r="B175" s="15">
        <v>45455</v>
      </c>
      <c r="C175" s="9">
        <v>56</v>
      </c>
      <c r="D175" s="9" t="s">
        <v>17</v>
      </c>
      <c r="E175" s="16">
        <v>918852</v>
      </c>
      <c r="F175" s="9">
        <v>811</v>
      </c>
      <c r="G175" s="16">
        <v>1248384</v>
      </c>
      <c r="H175" s="17">
        <v>11</v>
      </c>
      <c r="I175" s="9">
        <v>60</v>
      </c>
      <c r="J175" s="9" t="s">
        <v>11</v>
      </c>
      <c r="K175" s="18">
        <v>0.47</v>
      </c>
      <c r="L175" s="9" t="s">
        <v>19</v>
      </c>
      <c r="M175" s="9" t="s">
        <v>2</v>
      </c>
      <c r="N175" s="9">
        <v>0</v>
      </c>
      <c r="O175" s="9" t="str">
        <f t="shared" si="4"/>
        <v>Excellent</v>
      </c>
      <c r="P175" s="9" t="str">
        <f t="shared" si="5"/>
        <v>High</v>
      </c>
    </row>
    <row r="176" spans="1:16" x14ac:dyDescent="0.25">
      <c r="A176" s="10" t="s">
        <v>224</v>
      </c>
      <c r="B176" s="11">
        <v>45361</v>
      </c>
      <c r="C176" s="10">
        <v>35</v>
      </c>
      <c r="D176" s="10" t="s">
        <v>17</v>
      </c>
      <c r="E176" s="12">
        <v>1705397</v>
      </c>
      <c r="F176" s="10">
        <v>533</v>
      </c>
      <c r="G176" s="12">
        <v>627318</v>
      </c>
      <c r="H176" s="13">
        <v>6</v>
      </c>
      <c r="I176" s="10">
        <v>12</v>
      </c>
      <c r="J176" s="10" t="s">
        <v>11</v>
      </c>
      <c r="K176" s="14">
        <v>0.48</v>
      </c>
      <c r="L176" s="10" t="s">
        <v>19</v>
      </c>
      <c r="M176" s="10" t="s">
        <v>2</v>
      </c>
      <c r="N176" s="10">
        <v>1</v>
      </c>
      <c r="O176" s="10" t="str">
        <f t="shared" si="4"/>
        <v>Poor</v>
      </c>
      <c r="P176" s="10" t="str">
        <f t="shared" si="5"/>
        <v>High</v>
      </c>
    </row>
    <row r="177" spans="1:16" x14ac:dyDescent="0.25">
      <c r="A177" s="9" t="s">
        <v>225</v>
      </c>
      <c r="B177" s="15">
        <v>45701</v>
      </c>
      <c r="C177" s="9">
        <v>23</v>
      </c>
      <c r="D177" s="9" t="s">
        <v>16</v>
      </c>
      <c r="E177" s="16">
        <v>860925</v>
      </c>
      <c r="F177" s="9">
        <v>750</v>
      </c>
      <c r="G177" s="16">
        <v>1450838</v>
      </c>
      <c r="H177" s="17">
        <v>12</v>
      </c>
      <c r="I177" s="9">
        <v>60</v>
      </c>
      <c r="J177" s="9" t="s">
        <v>9</v>
      </c>
      <c r="K177" s="18">
        <v>0.49</v>
      </c>
      <c r="L177" s="9" t="s">
        <v>20</v>
      </c>
      <c r="M177" s="9" t="s">
        <v>4</v>
      </c>
      <c r="N177" s="9">
        <v>0</v>
      </c>
      <c r="O177" s="9" t="str">
        <f t="shared" si="4"/>
        <v>Excellent</v>
      </c>
      <c r="P177" s="9" t="str">
        <f t="shared" si="5"/>
        <v>High</v>
      </c>
    </row>
    <row r="178" spans="1:16" x14ac:dyDescent="0.25">
      <c r="A178" s="10" t="s">
        <v>226</v>
      </c>
      <c r="B178" s="11">
        <v>45166</v>
      </c>
      <c r="C178" s="10">
        <v>36</v>
      </c>
      <c r="D178" s="10" t="s">
        <v>17</v>
      </c>
      <c r="E178" s="12">
        <v>713089</v>
      </c>
      <c r="F178" s="10">
        <v>674</v>
      </c>
      <c r="G178" s="12">
        <v>1527452</v>
      </c>
      <c r="H178" s="13">
        <v>8</v>
      </c>
      <c r="I178" s="10">
        <v>60</v>
      </c>
      <c r="J178" s="10" t="s">
        <v>11</v>
      </c>
      <c r="K178" s="14">
        <v>0.48</v>
      </c>
      <c r="L178" s="10" t="s">
        <v>18</v>
      </c>
      <c r="M178" s="10" t="s">
        <v>5</v>
      </c>
      <c r="N178" s="10">
        <v>1</v>
      </c>
      <c r="O178" s="10" t="str">
        <f t="shared" si="4"/>
        <v>Good</v>
      </c>
      <c r="P178" s="10" t="str">
        <f t="shared" si="5"/>
        <v>High</v>
      </c>
    </row>
    <row r="179" spans="1:16" x14ac:dyDescent="0.25">
      <c r="A179" s="9" t="s">
        <v>227</v>
      </c>
      <c r="B179" s="15">
        <v>45284</v>
      </c>
      <c r="C179" s="9">
        <v>34</v>
      </c>
      <c r="D179" s="9" t="s">
        <v>9</v>
      </c>
      <c r="E179" s="16">
        <v>1887499</v>
      </c>
      <c r="F179" s="9">
        <v>337</v>
      </c>
      <c r="G179" s="16">
        <v>1972897</v>
      </c>
      <c r="H179" s="17">
        <v>13</v>
      </c>
      <c r="I179" s="9">
        <v>24</v>
      </c>
      <c r="J179" s="9" t="s">
        <v>13</v>
      </c>
      <c r="K179" s="18">
        <v>0.5</v>
      </c>
      <c r="L179" s="9" t="s">
        <v>22</v>
      </c>
      <c r="M179" s="9" t="s">
        <v>4</v>
      </c>
      <c r="N179" s="9">
        <v>1</v>
      </c>
      <c r="O179" s="9" t="str">
        <f t="shared" si="4"/>
        <v>Poor</v>
      </c>
      <c r="P179" s="9" t="str">
        <f t="shared" si="5"/>
        <v>High</v>
      </c>
    </row>
    <row r="180" spans="1:16" x14ac:dyDescent="0.25">
      <c r="A180" s="10" t="s">
        <v>228</v>
      </c>
      <c r="B180" s="11">
        <v>45840</v>
      </c>
      <c r="C180" s="10">
        <v>34</v>
      </c>
      <c r="D180" s="10" t="s">
        <v>9</v>
      </c>
      <c r="E180" s="12">
        <v>578256</v>
      </c>
      <c r="F180" s="10">
        <v>708</v>
      </c>
      <c r="G180" s="12">
        <v>1419304</v>
      </c>
      <c r="H180" s="13">
        <v>18</v>
      </c>
      <c r="I180" s="10">
        <v>60</v>
      </c>
      <c r="J180" s="10" t="s">
        <v>10</v>
      </c>
      <c r="K180" s="14">
        <v>0.34</v>
      </c>
      <c r="L180" s="10" t="s">
        <v>19</v>
      </c>
      <c r="M180" s="10" t="s">
        <v>3</v>
      </c>
      <c r="N180" s="10">
        <v>0</v>
      </c>
      <c r="O180" s="10" t="str">
        <f t="shared" si="4"/>
        <v>Good</v>
      </c>
      <c r="P180" s="10" t="str">
        <f t="shared" si="5"/>
        <v>Medium</v>
      </c>
    </row>
    <row r="181" spans="1:16" x14ac:dyDescent="0.25">
      <c r="A181" s="9" t="s">
        <v>229</v>
      </c>
      <c r="B181" s="15">
        <v>45390</v>
      </c>
      <c r="C181" s="9">
        <v>29</v>
      </c>
      <c r="D181" s="9" t="s">
        <v>16</v>
      </c>
      <c r="E181" s="16">
        <v>727935</v>
      </c>
      <c r="F181" s="9">
        <v>814</v>
      </c>
      <c r="G181" s="16">
        <v>280361</v>
      </c>
      <c r="H181" s="17">
        <v>13</v>
      </c>
      <c r="I181" s="9">
        <v>36</v>
      </c>
      <c r="J181" s="9" t="s">
        <v>10</v>
      </c>
      <c r="K181" s="18">
        <v>0.34</v>
      </c>
      <c r="L181" s="9" t="s">
        <v>20</v>
      </c>
      <c r="M181" s="9" t="s">
        <v>2</v>
      </c>
      <c r="N181" s="9">
        <v>0</v>
      </c>
      <c r="O181" s="9" t="str">
        <f t="shared" si="4"/>
        <v>Excellent</v>
      </c>
      <c r="P181" s="9" t="str">
        <f t="shared" si="5"/>
        <v>Medium</v>
      </c>
    </row>
    <row r="182" spans="1:16" x14ac:dyDescent="0.25">
      <c r="A182" s="10" t="s">
        <v>230</v>
      </c>
      <c r="B182" s="11">
        <v>45484</v>
      </c>
      <c r="C182" s="10">
        <v>45</v>
      </c>
      <c r="D182" s="10" t="s">
        <v>16</v>
      </c>
      <c r="E182" s="12">
        <v>2179562</v>
      </c>
      <c r="F182" s="10">
        <v>597</v>
      </c>
      <c r="G182" s="12">
        <v>1616798</v>
      </c>
      <c r="H182" s="13">
        <v>12</v>
      </c>
      <c r="I182" s="10">
        <v>12</v>
      </c>
      <c r="J182" s="10" t="s">
        <v>12</v>
      </c>
      <c r="K182" s="14">
        <v>0.45</v>
      </c>
      <c r="L182" s="10" t="s">
        <v>20</v>
      </c>
      <c r="M182" s="10" t="s">
        <v>4</v>
      </c>
      <c r="N182" s="10">
        <v>0</v>
      </c>
      <c r="O182" s="10" t="str">
        <f t="shared" si="4"/>
        <v>Fair</v>
      </c>
      <c r="P182" s="10" t="str">
        <f t="shared" si="5"/>
        <v>High</v>
      </c>
    </row>
    <row r="183" spans="1:16" x14ac:dyDescent="0.25">
      <c r="A183" s="9" t="s">
        <v>231</v>
      </c>
      <c r="B183" s="15">
        <v>45298</v>
      </c>
      <c r="C183" s="9">
        <v>43</v>
      </c>
      <c r="D183" s="9" t="s">
        <v>9</v>
      </c>
      <c r="E183" s="16">
        <v>1527021</v>
      </c>
      <c r="F183" s="9">
        <v>388</v>
      </c>
      <c r="G183" s="16">
        <v>1697699</v>
      </c>
      <c r="H183" s="17">
        <v>22</v>
      </c>
      <c r="I183" s="9">
        <v>36</v>
      </c>
      <c r="J183" s="9" t="s">
        <v>12</v>
      </c>
      <c r="K183" s="18">
        <v>0.22</v>
      </c>
      <c r="L183" s="9" t="s">
        <v>19</v>
      </c>
      <c r="M183" s="9" t="s">
        <v>5</v>
      </c>
      <c r="N183" s="9">
        <v>1</v>
      </c>
      <c r="O183" s="9" t="str">
        <f t="shared" si="4"/>
        <v>Poor</v>
      </c>
      <c r="P183" s="9" t="str">
        <f t="shared" si="5"/>
        <v>Medium</v>
      </c>
    </row>
    <row r="184" spans="1:16" x14ac:dyDescent="0.25">
      <c r="A184" s="10" t="s">
        <v>232</v>
      </c>
      <c r="B184" s="11">
        <v>45336</v>
      </c>
      <c r="C184" s="10">
        <v>61</v>
      </c>
      <c r="D184" s="10" t="s">
        <v>17</v>
      </c>
      <c r="E184" s="12">
        <v>279508</v>
      </c>
      <c r="F184" s="10">
        <v>802</v>
      </c>
      <c r="G184" s="12">
        <v>1245710</v>
      </c>
      <c r="H184" s="13">
        <v>18</v>
      </c>
      <c r="I184" s="10">
        <v>24</v>
      </c>
      <c r="J184" s="10" t="s">
        <v>9</v>
      </c>
      <c r="K184" s="14">
        <v>0.44</v>
      </c>
      <c r="L184" s="10" t="s">
        <v>21</v>
      </c>
      <c r="M184" s="10" t="s">
        <v>2</v>
      </c>
      <c r="N184" s="10">
        <v>0</v>
      </c>
      <c r="O184" s="10" t="str">
        <f t="shared" si="4"/>
        <v>Excellent</v>
      </c>
      <c r="P184" s="10" t="str">
        <f t="shared" si="5"/>
        <v>High</v>
      </c>
    </row>
    <row r="185" spans="1:16" x14ac:dyDescent="0.25">
      <c r="A185" s="9" t="s">
        <v>233</v>
      </c>
      <c r="B185" s="15">
        <v>45657</v>
      </c>
      <c r="C185" s="9">
        <v>53</v>
      </c>
      <c r="D185" s="9" t="s">
        <v>17</v>
      </c>
      <c r="E185" s="16">
        <v>2279687</v>
      </c>
      <c r="F185" s="9">
        <v>391</v>
      </c>
      <c r="G185" s="16">
        <v>552408</v>
      </c>
      <c r="H185" s="17">
        <v>8</v>
      </c>
      <c r="I185" s="9">
        <v>12</v>
      </c>
      <c r="J185" s="9" t="s">
        <v>13</v>
      </c>
      <c r="K185" s="18">
        <v>0.33</v>
      </c>
      <c r="L185" s="9" t="s">
        <v>19</v>
      </c>
      <c r="M185" s="9" t="s">
        <v>4</v>
      </c>
      <c r="N185" s="9">
        <v>0</v>
      </c>
      <c r="O185" s="9" t="str">
        <f t="shared" si="4"/>
        <v>Poor</v>
      </c>
      <c r="P185" s="9" t="str">
        <f t="shared" si="5"/>
        <v>Medium</v>
      </c>
    </row>
    <row r="186" spans="1:16" x14ac:dyDescent="0.25">
      <c r="A186" s="10" t="s">
        <v>234</v>
      </c>
      <c r="B186" s="11">
        <v>45697</v>
      </c>
      <c r="C186" s="10">
        <v>34</v>
      </c>
      <c r="D186" s="10" t="s">
        <v>9</v>
      </c>
      <c r="E186" s="12">
        <v>1891640</v>
      </c>
      <c r="F186" s="10">
        <v>773</v>
      </c>
      <c r="G186" s="12">
        <v>521971</v>
      </c>
      <c r="H186" s="13">
        <v>23</v>
      </c>
      <c r="I186" s="10">
        <v>24</v>
      </c>
      <c r="J186" s="10" t="s">
        <v>13</v>
      </c>
      <c r="K186" s="14">
        <v>0.59</v>
      </c>
      <c r="L186" s="10" t="s">
        <v>20</v>
      </c>
      <c r="M186" s="10" t="s">
        <v>3</v>
      </c>
      <c r="N186" s="10">
        <v>0</v>
      </c>
      <c r="O186" s="10" t="str">
        <f t="shared" si="4"/>
        <v>Excellent</v>
      </c>
      <c r="P186" s="10" t="str">
        <f t="shared" si="5"/>
        <v>High</v>
      </c>
    </row>
    <row r="187" spans="1:16" x14ac:dyDescent="0.25">
      <c r="A187" s="9" t="s">
        <v>235</v>
      </c>
      <c r="B187" s="15">
        <v>45618</v>
      </c>
      <c r="C187" s="9">
        <v>38</v>
      </c>
      <c r="D187" s="9" t="s">
        <v>17</v>
      </c>
      <c r="E187" s="16">
        <v>1378039</v>
      </c>
      <c r="F187" s="9">
        <v>668</v>
      </c>
      <c r="G187" s="16">
        <v>1976938</v>
      </c>
      <c r="H187" s="17">
        <v>23</v>
      </c>
      <c r="I187" s="9">
        <v>60</v>
      </c>
      <c r="J187" s="9" t="s">
        <v>14</v>
      </c>
      <c r="K187" s="18">
        <v>0.28999999999999998</v>
      </c>
      <c r="L187" s="9" t="s">
        <v>21</v>
      </c>
      <c r="M187" s="9" t="s">
        <v>5</v>
      </c>
      <c r="N187" s="9">
        <v>0</v>
      </c>
      <c r="O187" s="9" t="str">
        <f t="shared" si="4"/>
        <v>Fair</v>
      </c>
      <c r="P187" s="9" t="str">
        <f t="shared" si="5"/>
        <v>Medium</v>
      </c>
    </row>
    <row r="188" spans="1:16" x14ac:dyDescent="0.25">
      <c r="A188" s="10" t="s">
        <v>236</v>
      </c>
      <c r="B188" s="11">
        <v>45734</v>
      </c>
      <c r="C188" s="10">
        <v>64</v>
      </c>
      <c r="D188" s="10" t="s">
        <v>16</v>
      </c>
      <c r="E188" s="12">
        <v>2242306</v>
      </c>
      <c r="F188" s="10">
        <v>531</v>
      </c>
      <c r="G188" s="12">
        <v>1653463</v>
      </c>
      <c r="H188" s="13">
        <v>8</v>
      </c>
      <c r="I188" s="10">
        <v>60</v>
      </c>
      <c r="J188" s="10" t="s">
        <v>12</v>
      </c>
      <c r="K188" s="14">
        <v>0.18</v>
      </c>
      <c r="L188" s="10" t="s">
        <v>20</v>
      </c>
      <c r="M188" s="10" t="s">
        <v>4</v>
      </c>
      <c r="N188" s="10">
        <v>1</v>
      </c>
      <c r="O188" s="10" t="str">
        <f t="shared" si="4"/>
        <v>Poor</v>
      </c>
      <c r="P188" s="10" t="str">
        <f t="shared" si="5"/>
        <v>Low</v>
      </c>
    </row>
    <row r="189" spans="1:16" x14ac:dyDescent="0.25">
      <c r="A189" s="9" t="s">
        <v>237</v>
      </c>
      <c r="B189" s="15">
        <v>46018</v>
      </c>
      <c r="C189" s="9">
        <v>53</v>
      </c>
      <c r="D189" s="9" t="s">
        <v>9</v>
      </c>
      <c r="E189" s="16">
        <v>800018</v>
      </c>
      <c r="F189" s="9">
        <v>715</v>
      </c>
      <c r="G189" s="16">
        <v>1056368</v>
      </c>
      <c r="H189" s="17">
        <v>12</v>
      </c>
      <c r="I189" s="9">
        <v>36</v>
      </c>
      <c r="J189" s="9" t="s">
        <v>9</v>
      </c>
      <c r="K189" s="18">
        <v>0.45</v>
      </c>
      <c r="L189" s="9" t="s">
        <v>21</v>
      </c>
      <c r="M189" s="9" t="s">
        <v>4</v>
      </c>
      <c r="N189" s="9">
        <v>0</v>
      </c>
      <c r="O189" s="9" t="str">
        <f t="shared" si="4"/>
        <v>Good</v>
      </c>
      <c r="P189" s="9" t="str">
        <f t="shared" si="5"/>
        <v>High</v>
      </c>
    </row>
    <row r="190" spans="1:16" x14ac:dyDescent="0.25">
      <c r="A190" s="10" t="s">
        <v>238</v>
      </c>
      <c r="B190" s="11">
        <v>45934</v>
      </c>
      <c r="C190" s="10">
        <v>38</v>
      </c>
      <c r="D190" s="10" t="s">
        <v>17</v>
      </c>
      <c r="E190" s="12">
        <v>2363333</v>
      </c>
      <c r="F190" s="10">
        <v>391</v>
      </c>
      <c r="G190" s="12">
        <v>405466</v>
      </c>
      <c r="H190" s="13">
        <v>16</v>
      </c>
      <c r="I190" s="10">
        <v>60</v>
      </c>
      <c r="J190" s="10" t="s">
        <v>10</v>
      </c>
      <c r="K190" s="14">
        <v>0.42</v>
      </c>
      <c r="L190" s="10" t="s">
        <v>19</v>
      </c>
      <c r="M190" s="10" t="s">
        <v>3</v>
      </c>
      <c r="N190" s="10">
        <v>0</v>
      </c>
      <c r="O190" s="10" t="str">
        <f t="shared" si="4"/>
        <v>Poor</v>
      </c>
      <c r="P190" s="10" t="str">
        <f t="shared" si="5"/>
        <v>High</v>
      </c>
    </row>
    <row r="191" spans="1:16" x14ac:dyDescent="0.25">
      <c r="A191" s="9" t="s">
        <v>239</v>
      </c>
      <c r="B191" s="15">
        <v>45274</v>
      </c>
      <c r="C191" s="9">
        <v>43</v>
      </c>
      <c r="D191" s="9" t="s">
        <v>16</v>
      </c>
      <c r="E191" s="16">
        <v>1291412</v>
      </c>
      <c r="F191" s="9">
        <v>514</v>
      </c>
      <c r="G191" s="16">
        <v>1901546</v>
      </c>
      <c r="H191" s="17">
        <v>6</v>
      </c>
      <c r="I191" s="9">
        <v>12</v>
      </c>
      <c r="J191" s="9" t="s">
        <v>14</v>
      </c>
      <c r="K191" s="18">
        <v>0.14000000000000001</v>
      </c>
      <c r="L191" s="9" t="s">
        <v>20</v>
      </c>
      <c r="M191" s="9" t="s">
        <v>2</v>
      </c>
      <c r="N191" s="9">
        <v>1</v>
      </c>
      <c r="O191" s="9" t="str">
        <f t="shared" si="4"/>
        <v>Poor</v>
      </c>
      <c r="P191" s="9" t="str">
        <f t="shared" si="5"/>
        <v>Low</v>
      </c>
    </row>
    <row r="192" spans="1:16" x14ac:dyDescent="0.25">
      <c r="A192" s="10" t="s">
        <v>240</v>
      </c>
      <c r="B192" s="11">
        <v>45553</v>
      </c>
      <c r="C192" s="10">
        <v>26</v>
      </c>
      <c r="D192" s="10" t="s">
        <v>17</v>
      </c>
      <c r="E192" s="12">
        <v>1388554</v>
      </c>
      <c r="F192" s="10">
        <v>787</v>
      </c>
      <c r="G192" s="12">
        <v>796512</v>
      </c>
      <c r="H192" s="13">
        <v>14</v>
      </c>
      <c r="I192" s="10">
        <v>60</v>
      </c>
      <c r="J192" s="10" t="s">
        <v>14</v>
      </c>
      <c r="K192" s="14">
        <v>0.14000000000000001</v>
      </c>
      <c r="L192" s="10" t="s">
        <v>22</v>
      </c>
      <c r="M192" s="10" t="s">
        <v>2</v>
      </c>
      <c r="N192" s="10">
        <v>1</v>
      </c>
      <c r="O192" s="10" t="str">
        <f t="shared" si="4"/>
        <v>Excellent</v>
      </c>
      <c r="P192" s="10" t="str">
        <f t="shared" si="5"/>
        <v>Low</v>
      </c>
    </row>
    <row r="193" spans="1:16" x14ac:dyDescent="0.25">
      <c r="A193" s="9" t="s">
        <v>241</v>
      </c>
      <c r="B193" s="15">
        <v>45202</v>
      </c>
      <c r="C193" s="9">
        <v>38</v>
      </c>
      <c r="D193" s="9" t="s">
        <v>16</v>
      </c>
      <c r="E193" s="16">
        <v>1020449</v>
      </c>
      <c r="F193" s="9">
        <v>721</v>
      </c>
      <c r="G193" s="16">
        <v>1583614</v>
      </c>
      <c r="H193" s="17">
        <v>13</v>
      </c>
      <c r="I193" s="9">
        <v>36</v>
      </c>
      <c r="J193" s="9" t="s">
        <v>11</v>
      </c>
      <c r="K193" s="18">
        <v>0.25</v>
      </c>
      <c r="L193" s="9" t="s">
        <v>19</v>
      </c>
      <c r="M193" s="9" t="s">
        <v>4</v>
      </c>
      <c r="N193" s="9">
        <v>0</v>
      </c>
      <c r="O193" s="9" t="str">
        <f t="shared" si="4"/>
        <v>Good</v>
      </c>
      <c r="P193" s="9" t="str">
        <f t="shared" si="5"/>
        <v>Medium</v>
      </c>
    </row>
    <row r="194" spans="1:16" x14ac:dyDescent="0.25">
      <c r="A194" s="10" t="s">
        <v>242</v>
      </c>
      <c r="B194" s="11">
        <v>45267</v>
      </c>
      <c r="C194" s="10">
        <v>33</v>
      </c>
      <c r="D194" s="10" t="s">
        <v>17</v>
      </c>
      <c r="E194" s="12">
        <v>825281</v>
      </c>
      <c r="F194" s="10">
        <v>546</v>
      </c>
      <c r="G194" s="12">
        <v>1126705</v>
      </c>
      <c r="H194" s="13">
        <v>14</v>
      </c>
      <c r="I194" s="10">
        <v>12</v>
      </c>
      <c r="J194" s="10" t="s">
        <v>11</v>
      </c>
      <c r="K194" s="14">
        <v>0.16</v>
      </c>
      <c r="L194" s="10" t="s">
        <v>21</v>
      </c>
      <c r="M194" s="10" t="s">
        <v>2</v>
      </c>
      <c r="N194" s="10">
        <v>0</v>
      </c>
      <c r="O194" s="10" t="str">
        <f t="shared" ref="O194:O257" si="6">IF(F194&lt;580,"Poor",IF(F194&lt;670,"Fair",IF(F194&lt;740,"Good","Excellent")))</f>
        <v>Poor</v>
      </c>
      <c r="P194" s="10" t="str">
        <f t="shared" ref="P194:P257" si="7">IF(K194&lt;0.2,"Low",IF(K194&lt;0.4,"Medium","High"))</f>
        <v>Low</v>
      </c>
    </row>
    <row r="195" spans="1:16" x14ac:dyDescent="0.25">
      <c r="A195" s="9" t="s">
        <v>243</v>
      </c>
      <c r="B195" s="15">
        <v>45035</v>
      </c>
      <c r="C195" s="9">
        <v>62</v>
      </c>
      <c r="D195" s="9" t="s">
        <v>17</v>
      </c>
      <c r="E195" s="16">
        <v>1242126</v>
      </c>
      <c r="F195" s="9">
        <v>799</v>
      </c>
      <c r="G195" s="16">
        <v>917122</v>
      </c>
      <c r="H195" s="17">
        <v>20</v>
      </c>
      <c r="I195" s="9">
        <v>60</v>
      </c>
      <c r="J195" s="9" t="s">
        <v>11</v>
      </c>
      <c r="K195" s="18">
        <v>0.35</v>
      </c>
      <c r="L195" s="9" t="s">
        <v>22</v>
      </c>
      <c r="M195" s="9" t="s">
        <v>3</v>
      </c>
      <c r="N195" s="9">
        <v>0</v>
      </c>
      <c r="O195" s="9" t="str">
        <f t="shared" si="6"/>
        <v>Excellent</v>
      </c>
      <c r="P195" s="9" t="str">
        <f t="shared" si="7"/>
        <v>Medium</v>
      </c>
    </row>
    <row r="196" spans="1:16" x14ac:dyDescent="0.25">
      <c r="A196" s="10" t="s">
        <v>244</v>
      </c>
      <c r="B196" s="11">
        <v>45445</v>
      </c>
      <c r="C196" s="10">
        <v>26</v>
      </c>
      <c r="D196" s="10" t="s">
        <v>17</v>
      </c>
      <c r="E196" s="12">
        <v>878043</v>
      </c>
      <c r="F196" s="10">
        <v>424</v>
      </c>
      <c r="G196" s="12">
        <v>945799</v>
      </c>
      <c r="H196" s="13">
        <v>7</v>
      </c>
      <c r="I196" s="10">
        <v>60</v>
      </c>
      <c r="J196" s="10" t="s">
        <v>9</v>
      </c>
      <c r="K196" s="14">
        <v>0.35</v>
      </c>
      <c r="L196" s="10" t="s">
        <v>20</v>
      </c>
      <c r="M196" s="10" t="s">
        <v>3</v>
      </c>
      <c r="N196" s="10">
        <v>1</v>
      </c>
      <c r="O196" s="10" t="str">
        <f t="shared" si="6"/>
        <v>Poor</v>
      </c>
      <c r="P196" s="10" t="str">
        <f t="shared" si="7"/>
        <v>Medium</v>
      </c>
    </row>
    <row r="197" spans="1:16" x14ac:dyDescent="0.25">
      <c r="A197" s="9" t="s">
        <v>245</v>
      </c>
      <c r="B197" s="15">
        <v>45568</v>
      </c>
      <c r="C197" s="9">
        <v>60</v>
      </c>
      <c r="D197" s="9" t="s">
        <v>9</v>
      </c>
      <c r="E197" s="16">
        <v>2351976</v>
      </c>
      <c r="F197" s="9">
        <v>333</v>
      </c>
      <c r="G197" s="16">
        <v>1649658</v>
      </c>
      <c r="H197" s="17">
        <v>19</v>
      </c>
      <c r="I197" s="9">
        <v>60</v>
      </c>
      <c r="J197" s="9" t="s">
        <v>13</v>
      </c>
      <c r="K197" s="18">
        <v>0.17</v>
      </c>
      <c r="L197" s="9" t="s">
        <v>18</v>
      </c>
      <c r="M197" s="9" t="s">
        <v>4</v>
      </c>
      <c r="N197" s="9">
        <v>1</v>
      </c>
      <c r="O197" s="9" t="str">
        <f t="shared" si="6"/>
        <v>Poor</v>
      </c>
      <c r="P197" s="9" t="str">
        <f t="shared" si="7"/>
        <v>Low</v>
      </c>
    </row>
    <row r="198" spans="1:16" x14ac:dyDescent="0.25">
      <c r="A198" s="10" t="s">
        <v>246</v>
      </c>
      <c r="B198" s="11">
        <v>45484</v>
      </c>
      <c r="C198" s="10">
        <v>45</v>
      </c>
      <c r="D198" s="10" t="s">
        <v>16</v>
      </c>
      <c r="E198" s="12">
        <v>1931882</v>
      </c>
      <c r="F198" s="10">
        <v>835</v>
      </c>
      <c r="G198" s="12">
        <v>572081</v>
      </c>
      <c r="H198" s="13">
        <v>21</v>
      </c>
      <c r="I198" s="10">
        <v>12</v>
      </c>
      <c r="J198" s="10" t="s">
        <v>14</v>
      </c>
      <c r="K198" s="14">
        <v>0.4</v>
      </c>
      <c r="L198" s="10" t="s">
        <v>22</v>
      </c>
      <c r="M198" s="10" t="s">
        <v>2</v>
      </c>
      <c r="N198" s="10">
        <v>0</v>
      </c>
      <c r="O198" s="10" t="str">
        <f t="shared" si="6"/>
        <v>Excellent</v>
      </c>
      <c r="P198" s="10" t="str">
        <f t="shared" si="7"/>
        <v>High</v>
      </c>
    </row>
    <row r="199" spans="1:16" x14ac:dyDescent="0.25">
      <c r="A199" s="9" t="s">
        <v>247</v>
      </c>
      <c r="B199" s="15">
        <v>45589</v>
      </c>
      <c r="C199" s="9">
        <v>32</v>
      </c>
      <c r="D199" s="9" t="s">
        <v>16</v>
      </c>
      <c r="E199" s="16">
        <v>1222303</v>
      </c>
      <c r="F199" s="9">
        <v>457</v>
      </c>
      <c r="G199" s="16">
        <v>1309174</v>
      </c>
      <c r="H199" s="17">
        <v>9</v>
      </c>
      <c r="I199" s="9">
        <v>24</v>
      </c>
      <c r="J199" s="9" t="s">
        <v>11</v>
      </c>
      <c r="K199" s="18">
        <v>0.54</v>
      </c>
      <c r="L199" s="9" t="s">
        <v>20</v>
      </c>
      <c r="M199" s="9" t="s">
        <v>2</v>
      </c>
      <c r="N199" s="9">
        <v>0</v>
      </c>
      <c r="O199" s="9" t="str">
        <f t="shared" si="6"/>
        <v>Poor</v>
      </c>
      <c r="P199" s="9" t="str">
        <f t="shared" si="7"/>
        <v>High</v>
      </c>
    </row>
    <row r="200" spans="1:16" x14ac:dyDescent="0.25">
      <c r="A200" s="10" t="s">
        <v>248</v>
      </c>
      <c r="B200" s="11">
        <v>45926</v>
      </c>
      <c r="C200" s="10">
        <v>64</v>
      </c>
      <c r="D200" s="10" t="s">
        <v>17</v>
      </c>
      <c r="E200" s="12">
        <v>1660196</v>
      </c>
      <c r="F200" s="10">
        <v>473</v>
      </c>
      <c r="G200" s="12">
        <v>1255156</v>
      </c>
      <c r="H200" s="13">
        <v>10</v>
      </c>
      <c r="I200" s="10">
        <v>36</v>
      </c>
      <c r="J200" s="10" t="s">
        <v>13</v>
      </c>
      <c r="K200" s="14">
        <v>0.45</v>
      </c>
      <c r="L200" s="10" t="s">
        <v>20</v>
      </c>
      <c r="M200" s="10" t="s">
        <v>4</v>
      </c>
      <c r="N200" s="10">
        <v>0</v>
      </c>
      <c r="O200" s="10" t="str">
        <f t="shared" si="6"/>
        <v>Poor</v>
      </c>
      <c r="P200" s="10" t="str">
        <f t="shared" si="7"/>
        <v>High</v>
      </c>
    </row>
    <row r="201" spans="1:16" x14ac:dyDescent="0.25">
      <c r="A201" s="9" t="s">
        <v>249</v>
      </c>
      <c r="B201" s="15">
        <v>45326</v>
      </c>
      <c r="C201" s="9">
        <v>59</v>
      </c>
      <c r="D201" s="9" t="s">
        <v>17</v>
      </c>
      <c r="E201" s="16">
        <v>264426</v>
      </c>
      <c r="F201" s="9">
        <v>391</v>
      </c>
      <c r="G201" s="16">
        <v>1969072</v>
      </c>
      <c r="H201" s="17">
        <v>19</v>
      </c>
      <c r="I201" s="9">
        <v>24</v>
      </c>
      <c r="J201" s="9" t="s">
        <v>9</v>
      </c>
      <c r="K201" s="18">
        <v>0.18</v>
      </c>
      <c r="L201" s="9" t="s">
        <v>18</v>
      </c>
      <c r="M201" s="9" t="s">
        <v>4</v>
      </c>
      <c r="N201" s="9">
        <v>1</v>
      </c>
      <c r="O201" s="9" t="str">
        <f t="shared" si="6"/>
        <v>Poor</v>
      </c>
      <c r="P201" s="9" t="str">
        <f t="shared" si="7"/>
        <v>Low</v>
      </c>
    </row>
    <row r="202" spans="1:16" x14ac:dyDescent="0.25">
      <c r="A202" s="10" t="s">
        <v>250</v>
      </c>
      <c r="B202" s="11">
        <v>45016</v>
      </c>
      <c r="C202" s="10">
        <v>57</v>
      </c>
      <c r="D202" s="10" t="s">
        <v>16</v>
      </c>
      <c r="E202" s="12">
        <v>2078005</v>
      </c>
      <c r="F202" s="10">
        <v>664</v>
      </c>
      <c r="G202" s="12">
        <v>1047465</v>
      </c>
      <c r="H202" s="13">
        <v>6</v>
      </c>
      <c r="I202" s="10">
        <v>36</v>
      </c>
      <c r="J202" s="10" t="s">
        <v>12</v>
      </c>
      <c r="K202" s="14">
        <v>0.17</v>
      </c>
      <c r="L202" s="10" t="s">
        <v>19</v>
      </c>
      <c r="M202" s="10" t="s">
        <v>5</v>
      </c>
      <c r="N202" s="10">
        <v>0</v>
      </c>
      <c r="O202" s="10" t="str">
        <f t="shared" si="6"/>
        <v>Fair</v>
      </c>
      <c r="P202" s="10" t="str">
        <f t="shared" si="7"/>
        <v>Low</v>
      </c>
    </row>
    <row r="203" spans="1:16" x14ac:dyDescent="0.25">
      <c r="A203" s="9" t="s">
        <v>251</v>
      </c>
      <c r="B203" s="15">
        <v>45188</v>
      </c>
      <c r="C203" s="9">
        <v>51</v>
      </c>
      <c r="D203" s="9" t="s">
        <v>9</v>
      </c>
      <c r="E203" s="16">
        <v>858568</v>
      </c>
      <c r="F203" s="9">
        <v>414</v>
      </c>
      <c r="G203" s="16">
        <v>370358</v>
      </c>
      <c r="H203" s="17">
        <v>22</v>
      </c>
      <c r="I203" s="9">
        <v>12</v>
      </c>
      <c r="J203" s="9" t="s">
        <v>14</v>
      </c>
      <c r="K203" s="18">
        <v>0.27</v>
      </c>
      <c r="L203" s="9" t="s">
        <v>20</v>
      </c>
      <c r="M203" s="9" t="s">
        <v>2</v>
      </c>
      <c r="N203" s="9">
        <v>0</v>
      </c>
      <c r="O203" s="9" t="str">
        <f t="shared" si="6"/>
        <v>Poor</v>
      </c>
      <c r="P203" s="9" t="str">
        <f t="shared" si="7"/>
        <v>Medium</v>
      </c>
    </row>
    <row r="204" spans="1:16" x14ac:dyDescent="0.25">
      <c r="A204" s="10" t="s">
        <v>252</v>
      </c>
      <c r="B204" s="11">
        <v>45037</v>
      </c>
      <c r="C204" s="10">
        <v>51</v>
      </c>
      <c r="D204" s="10" t="s">
        <v>17</v>
      </c>
      <c r="E204" s="12">
        <v>1139280</v>
      </c>
      <c r="F204" s="10">
        <v>577</v>
      </c>
      <c r="G204" s="12">
        <v>1570799</v>
      </c>
      <c r="H204" s="13">
        <v>13</v>
      </c>
      <c r="I204" s="10">
        <v>24</v>
      </c>
      <c r="J204" s="10" t="s">
        <v>14</v>
      </c>
      <c r="K204" s="14">
        <v>0.31</v>
      </c>
      <c r="L204" s="10" t="s">
        <v>21</v>
      </c>
      <c r="M204" s="10" t="s">
        <v>3</v>
      </c>
      <c r="N204" s="10">
        <v>0</v>
      </c>
      <c r="O204" s="10" t="str">
        <f t="shared" si="6"/>
        <v>Poor</v>
      </c>
      <c r="P204" s="10" t="str">
        <f t="shared" si="7"/>
        <v>Medium</v>
      </c>
    </row>
    <row r="205" spans="1:16" x14ac:dyDescent="0.25">
      <c r="A205" s="9" t="s">
        <v>253</v>
      </c>
      <c r="B205" s="15">
        <v>45928</v>
      </c>
      <c r="C205" s="9">
        <v>62</v>
      </c>
      <c r="D205" s="9" t="s">
        <v>17</v>
      </c>
      <c r="E205" s="16">
        <v>2302062</v>
      </c>
      <c r="F205" s="9">
        <v>568</v>
      </c>
      <c r="G205" s="16">
        <v>1292328</v>
      </c>
      <c r="H205" s="17">
        <v>19</v>
      </c>
      <c r="I205" s="9">
        <v>36</v>
      </c>
      <c r="J205" s="9" t="s">
        <v>14</v>
      </c>
      <c r="K205" s="18">
        <v>0.35</v>
      </c>
      <c r="L205" s="9" t="s">
        <v>19</v>
      </c>
      <c r="M205" s="9" t="s">
        <v>2</v>
      </c>
      <c r="N205" s="9">
        <v>0</v>
      </c>
      <c r="O205" s="9" t="str">
        <f t="shared" si="6"/>
        <v>Poor</v>
      </c>
      <c r="P205" s="9" t="str">
        <f t="shared" si="7"/>
        <v>Medium</v>
      </c>
    </row>
    <row r="206" spans="1:16" x14ac:dyDescent="0.25">
      <c r="A206" s="10" t="s">
        <v>254</v>
      </c>
      <c r="B206" s="11">
        <v>45513</v>
      </c>
      <c r="C206" s="10">
        <v>46</v>
      </c>
      <c r="D206" s="10" t="s">
        <v>9</v>
      </c>
      <c r="E206" s="12">
        <v>1609450</v>
      </c>
      <c r="F206" s="10">
        <v>622</v>
      </c>
      <c r="G206" s="12">
        <v>516485</v>
      </c>
      <c r="H206" s="13">
        <v>13</v>
      </c>
      <c r="I206" s="10">
        <v>24</v>
      </c>
      <c r="J206" s="10" t="s">
        <v>9</v>
      </c>
      <c r="K206" s="14">
        <v>0.14000000000000001</v>
      </c>
      <c r="L206" s="10" t="s">
        <v>21</v>
      </c>
      <c r="M206" s="10" t="s">
        <v>5</v>
      </c>
      <c r="N206" s="10">
        <v>0</v>
      </c>
      <c r="O206" s="10" t="str">
        <f t="shared" si="6"/>
        <v>Fair</v>
      </c>
      <c r="P206" s="10" t="str">
        <f t="shared" si="7"/>
        <v>Low</v>
      </c>
    </row>
    <row r="207" spans="1:16" x14ac:dyDescent="0.25">
      <c r="A207" s="9" t="s">
        <v>255</v>
      </c>
      <c r="B207" s="15">
        <v>45150</v>
      </c>
      <c r="C207" s="9">
        <v>45</v>
      </c>
      <c r="D207" s="9" t="s">
        <v>17</v>
      </c>
      <c r="E207" s="16">
        <v>2372156</v>
      </c>
      <c r="F207" s="9">
        <v>789</v>
      </c>
      <c r="G207" s="16">
        <v>926285</v>
      </c>
      <c r="H207" s="17">
        <v>8</v>
      </c>
      <c r="I207" s="9">
        <v>12</v>
      </c>
      <c r="J207" s="9" t="s">
        <v>13</v>
      </c>
      <c r="K207" s="18">
        <v>0.14000000000000001</v>
      </c>
      <c r="L207" s="9" t="s">
        <v>19</v>
      </c>
      <c r="M207" s="9" t="s">
        <v>3</v>
      </c>
      <c r="N207" s="9">
        <v>0</v>
      </c>
      <c r="O207" s="9" t="str">
        <f t="shared" si="6"/>
        <v>Excellent</v>
      </c>
      <c r="P207" s="9" t="str">
        <f t="shared" si="7"/>
        <v>Low</v>
      </c>
    </row>
    <row r="208" spans="1:16" x14ac:dyDescent="0.25">
      <c r="A208" s="10" t="s">
        <v>256</v>
      </c>
      <c r="B208" s="11">
        <v>45190</v>
      </c>
      <c r="C208" s="10">
        <v>45</v>
      </c>
      <c r="D208" s="10" t="s">
        <v>17</v>
      </c>
      <c r="E208" s="12">
        <v>1756645</v>
      </c>
      <c r="F208" s="10">
        <v>461</v>
      </c>
      <c r="G208" s="12">
        <v>1320808</v>
      </c>
      <c r="H208" s="13">
        <v>18</v>
      </c>
      <c r="I208" s="10">
        <v>24</v>
      </c>
      <c r="J208" s="10" t="s">
        <v>13</v>
      </c>
      <c r="K208" s="14">
        <v>0.28000000000000003</v>
      </c>
      <c r="L208" s="10" t="s">
        <v>21</v>
      </c>
      <c r="M208" s="10" t="s">
        <v>4</v>
      </c>
      <c r="N208" s="10">
        <v>0</v>
      </c>
      <c r="O208" s="10" t="str">
        <f t="shared" si="6"/>
        <v>Poor</v>
      </c>
      <c r="P208" s="10" t="str">
        <f t="shared" si="7"/>
        <v>Medium</v>
      </c>
    </row>
    <row r="209" spans="1:16" x14ac:dyDescent="0.25">
      <c r="A209" s="9" t="s">
        <v>257</v>
      </c>
      <c r="B209" s="15">
        <v>45004</v>
      </c>
      <c r="C209" s="9">
        <v>34</v>
      </c>
      <c r="D209" s="9" t="s">
        <v>9</v>
      </c>
      <c r="E209" s="16">
        <v>389214</v>
      </c>
      <c r="F209" s="9">
        <v>701</v>
      </c>
      <c r="G209" s="16">
        <v>1584216</v>
      </c>
      <c r="H209" s="17">
        <v>10</v>
      </c>
      <c r="I209" s="9">
        <v>24</v>
      </c>
      <c r="J209" s="9" t="s">
        <v>9</v>
      </c>
      <c r="K209" s="18">
        <v>0.47</v>
      </c>
      <c r="L209" s="9" t="s">
        <v>21</v>
      </c>
      <c r="M209" s="9" t="s">
        <v>3</v>
      </c>
      <c r="N209" s="9">
        <v>0</v>
      </c>
      <c r="O209" s="9" t="str">
        <f t="shared" si="6"/>
        <v>Good</v>
      </c>
      <c r="P209" s="9" t="str">
        <f t="shared" si="7"/>
        <v>High</v>
      </c>
    </row>
    <row r="210" spans="1:16" x14ac:dyDescent="0.25">
      <c r="A210" s="10" t="s">
        <v>258</v>
      </c>
      <c r="B210" s="11">
        <v>45726</v>
      </c>
      <c r="C210" s="10">
        <v>23</v>
      </c>
      <c r="D210" s="10" t="s">
        <v>16</v>
      </c>
      <c r="E210" s="12">
        <v>1650370</v>
      </c>
      <c r="F210" s="10">
        <v>479</v>
      </c>
      <c r="G210" s="12">
        <v>647909</v>
      </c>
      <c r="H210" s="13">
        <v>18</v>
      </c>
      <c r="I210" s="10">
        <v>36</v>
      </c>
      <c r="J210" s="10" t="s">
        <v>11</v>
      </c>
      <c r="K210" s="14">
        <v>0.1</v>
      </c>
      <c r="L210" s="10" t="s">
        <v>21</v>
      </c>
      <c r="M210" s="10" t="s">
        <v>3</v>
      </c>
      <c r="N210" s="10">
        <v>1</v>
      </c>
      <c r="O210" s="10" t="str">
        <f t="shared" si="6"/>
        <v>Poor</v>
      </c>
      <c r="P210" s="10" t="str">
        <f t="shared" si="7"/>
        <v>Low</v>
      </c>
    </row>
    <row r="211" spans="1:16" x14ac:dyDescent="0.25">
      <c r="A211" s="9" t="s">
        <v>259</v>
      </c>
      <c r="B211" s="15">
        <v>45812</v>
      </c>
      <c r="C211" s="9">
        <v>57</v>
      </c>
      <c r="D211" s="9" t="s">
        <v>9</v>
      </c>
      <c r="E211" s="16">
        <v>851500</v>
      </c>
      <c r="F211" s="9">
        <v>357</v>
      </c>
      <c r="G211" s="16">
        <v>731467</v>
      </c>
      <c r="H211" s="17">
        <v>17</v>
      </c>
      <c r="I211" s="9">
        <v>60</v>
      </c>
      <c r="J211" s="9" t="s">
        <v>14</v>
      </c>
      <c r="K211" s="18">
        <v>0.1</v>
      </c>
      <c r="L211" s="9" t="s">
        <v>18</v>
      </c>
      <c r="M211" s="9" t="s">
        <v>2</v>
      </c>
      <c r="N211" s="9">
        <v>0</v>
      </c>
      <c r="O211" s="9" t="str">
        <f t="shared" si="6"/>
        <v>Poor</v>
      </c>
      <c r="P211" s="9" t="str">
        <f t="shared" si="7"/>
        <v>Low</v>
      </c>
    </row>
    <row r="212" spans="1:16" x14ac:dyDescent="0.25">
      <c r="A212" s="10" t="s">
        <v>260</v>
      </c>
      <c r="B212" s="11">
        <v>44969</v>
      </c>
      <c r="C212" s="10">
        <v>45</v>
      </c>
      <c r="D212" s="10" t="s">
        <v>9</v>
      </c>
      <c r="E212" s="12">
        <v>2011196</v>
      </c>
      <c r="F212" s="10">
        <v>673</v>
      </c>
      <c r="G212" s="12">
        <v>52926</v>
      </c>
      <c r="H212" s="13">
        <v>22</v>
      </c>
      <c r="I212" s="10">
        <v>24</v>
      </c>
      <c r="J212" s="10" t="s">
        <v>14</v>
      </c>
      <c r="K212" s="14">
        <v>0.44</v>
      </c>
      <c r="L212" s="10" t="s">
        <v>22</v>
      </c>
      <c r="M212" s="10" t="s">
        <v>3</v>
      </c>
      <c r="N212" s="10">
        <v>1</v>
      </c>
      <c r="O212" s="10" t="str">
        <f t="shared" si="6"/>
        <v>Good</v>
      </c>
      <c r="P212" s="10" t="str">
        <f t="shared" si="7"/>
        <v>High</v>
      </c>
    </row>
    <row r="213" spans="1:16" x14ac:dyDescent="0.25">
      <c r="A213" s="9" t="s">
        <v>261</v>
      </c>
      <c r="B213" s="15">
        <v>45251</v>
      </c>
      <c r="C213" s="9">
        <v>40</v>
      </c>
      <c r="D213" s="9" t="s">
        <v>16</v>
      </c>
      <c r="E213" s="16">
        <v>1902636</v>
      </c>
      <c r="F213" s="9">
        <v>660</v>
      </c>
      <c r="G213" s="16">
        <v>296705</v>
      </c>
      <c r="H213" s="17">
        <v>9</v>
      </c>
      <c r="I213" s="9">
        <v>60</v>
      </c>
      <c r="J213" s="9" t="s">
        <v>14</v>
      </c>
      <c r="K213" s="18">
        <v>0.22</v>
      </c>
      <c r="L213" s="9" t="s">
        <v>22</v>
      </c>
      <c r="M213" s="9" t="s">
        <v>4</v>
      </c>
      <c r="N213" s="9">
        <v>0</v>
      </c>
      <c r="O213" s="9" t="str">
        <f t="shared" si="6"/>
        <v>Fair</v>
      </c>
      <c r="P213" s="9" t="str">
        <f t="shared" si="7"/>
        <v>Medium</v>
      </c>
    </row>
    <row r="214" spans="1:16" x14ac:dyDescent="0.25">
      <c r="A214" s="10" t="s">
        <v>262</v>
      </c>
      <c r="B214" s="11">
        <v>45019</v>
      </c>
      <c r="C214" s="10">
        <v>60</v>
      </c>
      <c r="D214" s="10" t="s">
        <v>17</v>
      </c>
      <c r="E214" s="12">
        <v>1744197</v>
      </c>
      <c r="F214" s="10">
        <v>333</v>
      </c>
      <c r="G214" s="12">
        <v>1916698</v>
      </c>
      <c r="H214" s="13">
        <v>10</v>
      </c>
      <c r="I214" s="10">
        <v>12</v>
      </c>
      <c r="J214" s="10" t="s">
        <v>9</v>
      </c>
      <c r="K214" s="14">
        <v>0.27</v>
      </c>
      <c r="L214" s="10" t="s">
        <v>20</v>
      </c>
      <c r="M214" s="10" t="s">
        <v>5</v>
      </c>
      <c r="N214" s="10">
        <v>1</v>
      </c>
      <c r="O214" s="10" t="str">
        <f t="shared" si="6"/>
        <v>Poor</v>
      </c>
      <c r="P214" s="10" t="str">
        <f t="shared" si="7"/>
        <v>Medium</v>
      </c>
    </row>
    <row r="215" spans="1:16" x14ac:dyDescent="0.25">
      <c r="A215" s="9" t="s">
        <v>263</v>
      </c>
      <c r="B215" s="15">
        <v>45503</v>
      </c>
      <c r="C215" s="9">
        <v>65</v>
      </c>
      <c r="D215" s="9" t="s">
        <v>9</v>
      </c>
      <c r="E215" s="16">
        <v>1182731</v>
      </c>
      <c r="F215" s="9">
        <v>791</v>
      </c>
      <c r="G215" s="16">
        <v>973660</v>
      </c>
      <c r="H215" s="17">
        <v>7</v>
      </c>
      <c r="I215" s="9">
        <v>24</v>
      </c>
      <c r="J215" s="9" t="s">
        <v>10</v>
      </c>
      <c r="K215" s="18">
        <v>0.48</v>
      </c>
      <c r="L215" s="9" t="s">
        <v>19</v>
      </c>
      <c r="M215" s="9" t="s">
        <v>5</v>
      </c>
      <c r="N215" s="9">
        <v>0</v>
      </c>
      <c r="O215" s="9" t="str">
        <f t="shared" si="6"/>
        <v>Excellent</v>
      </c>
      <c r="P215" s="9" t="str">
        <f t="shared" si="7"/>
        <v>High</v>
      </c>
    </row>
    <row r="216" spans="1:16" x14ac:dyDescent="0.25">
      <c r="A216" s="10" t="s">
        <v>264</v>
      </c>
      <c r="B216" s="11">
        <v>45034</v>
      </c>
      <c r="C216" s="10">
        <v>40</v>
      </c>
      <c r="D216" s="10" t="s">
        <v>16</v>
      </c>
      <c r="E216" s="12">
        <v>457811</v>
      </c>
      <c r="F216" s="10">
        <v>828</v>
      </c>
      <c r="G216" s="12">
        <v>357134</v>
      </c>
      <c r="H216" s="13">
        <v>22</v>
      </c>
      <c r="I216" s="10">
        <v>12</v>
      </c>
      <c r="J216" s="10" t="s">
        <v>13</v>
      </c>
      <c r="K216" s="14">
        <v>0.15</v>
      </c>
      <c r="L216" s="10" t="s">
        <v>21</v>
      </c>
      <c r="M216" s="10" t="s">
        <v>4</v>
      </c>
      <c r="N216" s="10">
        <v>0</v>
      </c>
      <c r="O216" s="10" t="str">
        <f t="shared" si="6"/>
        <v>Excellent</v>
      </c>
      <c r="P216" s="10" t="str">
        <f t="shared" si="7"/>
        <v>Low</v>
      </c>
    </row>
    <row r="217" spans="1:16" x14ac:dyDescent="0.25">
      <c r="A217" s="9" t="s">
        <v>265</v>
      </c>
      <c r="B217" s="15">
        <v>45514</v>
      </c>
      <c r="C217" s="9">
        <v>65</v>
      </c>
      <c r="D217" s="9" t="s">
        <v>17</v>
      </c>
      <c r="E217" s="16">
        <v>1299860</v>
      </c>
      <c r="F217" s="9">
        <v>560</v>
      </c>
      <c r="G217" s="16">
        <v>1326234</v>
      </c>
      <c r="H217" s="17">
        <v>12</v>
      </c>
      <c r="I217" s="9">
        <v>60</v>
      </c>
      <c r="J217" s="9" t="s">
        <v>14</v>
      </c>
      <c r="K217" s="18">
        <v>0.39</v>
      </c>
      <c r="L217" s="9" t="s">
        <v>20</v>
      </c>
      <c r="M217" s="9" t="s">
        <v>5</v>
      </c>
      <c r="N217" s="9">
        <v>0</v>
      </c>
      <c r="O217" s="9" t="str">
        <f t="shared" si="6"/>
        <v>Poor</v>
      </c>
      <c r="P217" s="9" t="str">
        <f t="shared" si="7"/>
        <v>Medium</v>
      </c>
    </row>
    <row r="218" spans="1:16" x14ac:dyDescent="0.25">
      <c r="A218" s="10" t="s">
        <v>266</v>
      </c>
      <c r="B218" s="11">
        <v>45601</v>
      </c>
      <c r="C218" s="10">
        <v>42</v>
      </c>
      <c r="D218" s="10" t="s">
        <v>16</v>
      </c>
      <c r="E218" s="12">
        <v>339187</v>
      </c>
      <c r="F218" s="10">
        <v>489</v>
      </c>
      <c r="G218" s="12">
        <v>1931074</v>
      </c>
      <c r="H218" s="13">
        <v>16</v>
      </c>
      <c r="I218" s="10">
        <v>12</v>
      </c>
      <c r="J218" s="10" t="s">
        <v>12</v>
      </c>
      <c r="K218" s="14">
        <v>0.44</v>
      </c>
      <c r="L218" s="10" t="s">
        <v>18</v>
      </c>
      <c r="M218" s="10" t="s">
        <v>4</v>
      </c>
      <c r="N218" s="10">
        <v>0</v>
      </c>
      <c r="O218" s="10" t="str">
        <f t="shared" si="6"/>
        <v>Poor</v>
      </c>
      <c r="P218" s="10" t="str">
        <f t="shared" si="7"/>
        <v>High</v>
      </c>
    </row>
    <row r="219" spans="1:16" x14ac:dyDescent="0.25">
      <c r="A219" s="9" t="s">
        <v>267</v>
      </c>
      <c r="B219" s="15">
        <v>45965</v>
      </c>
      <c r="C219" s="9">
        <v>21</v>
      </c>
      <c r="D219" s="9" t="s">
        <v>9</v>
      </c>
      <c r="E219" s="16">
        <v>1559290</v>
      </c>
      <c r="F219" s="9">
        <v>803</v>
      </c>
      <c r="G219" s="16">
        <v>720601</v>
      </c>
      <c r="H219" s="17">
        <v>11</v>
      </c>
      <c r="I219" s="9">
        <v>60</v>
      </c>
      <c r="J219" s="9" t="s">
        <v>14</v>
      </c>
      <c r="K219" s="18">
        <v>0.26</v>
      </c>
      <c r="L219" s="9" t="s">
        <v>18</v>
      </c>
      <c r="M219" s="9" t="s">
        <v>4</v>
      </c>
      <c r="N219" s="9">
        <v>0</v>
      </c>
      <c r="O219" s="9" t="str">
        <f t="shared" si="6"/>
        <v>Excellent</v>
      </c>
      <c r="P219" s="9" t="str">
        <f t="shared" si="7"/>
        <v>Medium</v>
      </c>
    </row>
    <row r="220" spans="1:16" x14ac:dyDescent="0.25">
      <c r="A220" s="10" t="s">
        <v>268</v>
      </c>
      <c r="B220" s="11">
        <v>45620</v>
      </c>
      <c r="C220" s="10">
        <v>38</v>
      </c>
      <c r="D220" s="10" t="s">
        <v>9</v>
      </c>
      <c r="E220" s="12">
        <v>2014226</v>
      </c>
      <c r="F220" s="10">
        <v>827</v>
      </c>
      <c r="G220" s="12">
        <v>173429</v>
      </c>
      <c r="H220" s="13">
        <v>17</v>
      </c>
      <c r="I220" s="10">
        <v>12</v>
      </c>
      <c r="J220" s="10" t="s">
        <v>12</v>
      </c>
      <c r="K220" s="14">
        <v>0.5</v>
      </c>
      <c r="L220" s="10" t="s">
        <v>18</v>
      </c>
      <c r="M220" s="10" t="s">
        <v>3</v>
      </c>
      <c r="N220" s="10">
        <v>0</v>
      </c>
      <c r="O220" s="10" t="str">
        <f t="shared" si="6"/>
        <v>Excellent</v>
      </c>
      <c r="P220" s="10" t="str">
        <f t="shared" si="7"/>
        <v>High</v>
      </c>
    </row>
    <row r="221" spans="1:16" x14ac:dyDescent="0.25">
      <c r="A221" s="9" t="s">
        <v>269</v>
      </c>
      <c r="B221" s="15">
        <v>45545</v>
      </c>
      <c r="C221" s="9">
        <v>45</v>
      </c>
      <c r="D221" s="9" t="s">
        <v>9</v>
      </c>
      <c r="E221" s="16">
        <v>884221</v>
      </c>
      <c r="F221" s="9">
        <v>827</v>
      </c>
      <c r="G221" s="16">
        <v>648798</v>
      </c>
      <c r="H221" s="17">
        <v>10</v>
      </c>
      <c r="I221" s="9">
        <v>24</v>
      </c>
      <c r="J221" s="9" t="s">
        <v>9</v>
      </c>
      <c r="K221" s="18">
        <v>0.35</v>
      </c>
      <c r="L221" s="9" t="s">
        <v>20</v>
      </c>
      <c r="M221" s="9" t="s">
        <v>2</v>
      </c>
      <c r="N221" s="9">
        <v>0</v>
      </c>
      <c r="O221" s="9" t="str">
        <f t="shared" si="6"/>
        <v>Excellent</v>
      </c>
      <c r="P221" s="9" t="str">
        <f t="shared" si="7"/>
        <v>Medium</v>
      </c>
    </row>
    <row r="222" spans="1:16" x14ac:dyDescent="0.25">
      <c r="A222" s="10" t="s">
        <v>270</v>
      </c>
      <c r="B222" s="11">
        <v>45451</v>
      </c>
      <c r="C222" s="10">
        <v>51</v>
      </c>
      <c r="D222" s="10" t="s">
        <v>9</v>
      </c>
      <c r="E222" s="12">
        <v>1370587</v>
      </c>
      <c r="F222" s="10">
        <v>312</v>
      </c>
      <c r="G222" s="12">
        <v>396980</v>
      </c>
      <c r="H222" s="13">
        <v>6</v>
      </c>
      <c r="I222" s="10">
        <v>12</v>
      </c>
      <c r="J222" s="10" t="s">
        <v>9</v>
      </c>
      <c r="K222" s="14">
        <v>0.4</v>
      </c>
      <c r="L222" s="10" t="s">
        <v>18</v>
      </c>
      <c r="M222" s="10" t="s">
        <v>4</v>
      </c>
      <c r="N222" s="10">
        <v>0</v>
      </c>
      <c r="O222" s="10" t="str">
        <f t="shared" si="6"/>
        <v>Poor</v>
      </c>
      <c r="P222" s="10" t="str">
        <f t="shared" si="7"/>
        <v>High</v>
      </c>
    </row>
    <row r="223" spans="1:16" x14ac:dyDescent="0.25">
      <c r="A223" s="9" t="s">
        <v>271</v>
      </c>
      <c r="B223" s="15">
        <v>45537</v>
      </c>
      <c r="C223" s="9">
        <v>22</v>
      </c>
      <c r="D223" s="9" t="s">
        <v>17</v>
      </c>
      <c r="E223" s="16">
        <v>502682</v>
      </c>
      <c r="F223" s="9">
        <v>840</v>
      </c>
      <c r="G223" s="16">
        <v>1239696</v>
      </c>
      <c r="H223" s="17">
        <v>12</v>
      </c>
      <c r="I223" s="9">
        <v>36</v>
      </c>
      <c r="J223" s="9" t="s">
        <v>14</v>
      </c>
      <c r="K223" s="18">
        <v>0.53</v>
      </c>
      <c r="L223" s="9" t="s">
        <v>19</v>
      </c>
      <c r="M223" s="9" t="s">
        <v>4</v>
      </c>
      <c r="N223" s="9">
        <v>1</v>
      </c>
      <c r="O223" s="9" t="str">
        <f t="shared" si="6"/>
        <v>Excellent</v>
      </c>
      <c r="P223" s="9" t="str">
        <f t="shared" si="7"/>
        <v>High</v>
      </c>
    </row>
    <row r="224" spans="1:16" x14ac:dyDescent="0.25">
      <c r="A224" s="10" t="s">
        <v>272</v>
      </c>
      <c r="B224" s="11">
        <v>45154</v>
      </c>
      <c r="C224" s="10">
        <v>38</v>
      </c>
      <c r="D224" s="10" t="s">
        <v>17</v>
      </c>
      <c r="E224" s="12">
        <v>2144346</v>
      </c>
      <c r="F224" s="10">
        <v>385</v>
      </c>
      <c r="G224" s="12">
        <v>1068986</v>
      </c>
      <c r="H224" s="13">
        <v>20</v>
      </c>
      <c r="I224" s="10">
        <v>24</v>
      </c>
      <c r="J224" s="10" t="s">
        <v>10</v>
      </c>
      <c r="K224" s="14">
        <v>0.34</v>
      </c>
      <c r="L224" s="10" t="s">
        <v>22</v>
      </c>
      <c r="M224" s="10" t="s">
        <v>3</v>
      </c>
      <c r="N224" s="10">
        <v>0</v>
      </c>
      <c r="O224" s="10" t="str">
        <f t="shared" si="6"/>
        <v>Poor</v>
      </c>
      <c r="P224" s="10" t="str">
        <f t="shared" si="7"/>
        <v>Medium</v>
      </c>
    </row>
    <row r="225" spans="1:16" x14ac:dyDescent="0.25">
      <c r="A225" s="9" t="s">
        <v>273</v>
      </c>
      <c r="B225" s="15">
        <v>45694</v>
      </c>
      <c r="C225" s="9">
        <v>43</v>
      </c>
      <c r="D225" s="9" t="s">
        <v>9</v>
      </c>
      <c r="E225" s="16">
        <v>2392902</v>
      </c>
      <c r="F225" s="9">
        <v>332</v>
      </c>
      <c r="G225" s="16">
        <v>305425</v>
      </c>
      <c r="H225" s="17">
        <v>18</v>
      </c>
      <c r="I225" s="9">
        <v>24</v>
      </c>
      <c r="J225" s="9" t="s">
        <v>14</v>
      </c>
      <c r="K225" s="18">
        <v>0.32</v>
      </c>
      <c r="L225" s="9" t="s">
        <v>20</v>
      </c>
      <c r="M225" s="9" t="s">
        <v>5</v>
      </c>
      <c r="N225" s="9">
        <v>0</v>
      </c>
      <c r="O225" s="9" t="str">
        <f t="shared" si="6"/>
        <v>Poor</v>
      </c>
      <c r="P225" s="9" t="str">
        <f t="shared" si="7"/>
        <v>Medium</v>
      </c>
    </row>
    <row r="226" spans="1:16" x14ac:dyDescent="0.25">
      <c r="A226" s="10" t="s">
        <v>274</v>
      </c>
      <c r="B226" s="11">
        <v>45225</v>
      </c>
      <c r="C226" s="10">
        <v>24</v>
      </c>
      <c r="D226" s="10" t="s">
        <v>17</v>
      </c>
      <c r="E226" s="12">
        <v>293161</v>
      </c>
      <c r="F226" s="10">
        <v>643</v>
      </c>
      <c r="G226" s="12">
        <v>293367</v>
      </c>
      <c r="H226" s="13">
        <v>6</v>
      </c>
      <c r="I226" s="10">
        <v>36</v>
      </c>
      <c r="J226" s="10" t="s">
        <v>11</v>
      </c>
      <c r="K226" s="14">
        <v>0.42</v>
      </c>
      <c r="L226" s="10" t="s">
        <v>21</v>
      </c>
      <c r="M226" s="10" t="s">
        <v>5</v>
      </c>
      <c r="N226" s="10">
        <v>1</v>
      </c>
      <c r="O226" s="10" t="str">
        <f t="shared" si="6"/>
        <v>Fair</v>
      </c>
      <c r="P226" s="10" t="str">
        <f t="shared" si="7"/>
        <v>High</v>
      </c>
    </row>
    <row r="227" spans="1:16" x14ac:dyDescent="0.25">
      <c r="A227" s="9" t="s">
        <v>275</v>
      </c>
      <c r="B227" s="15">
        <v>45588</v>
      </c>
      <c r="C227" s="9">
        <v>53</v>
      </c>
      <c r="D227" s="9" t="s">
        <v>16</v>
      </c>
      <c r="E227" s="16">
        <v>1410193</v>
      </c>
      <c r="F227" s="9">
        <v>782</v>
      </c>
      <c r="G227" s="16">
        <v>582304</v>
      </c>
      <c r="H227" s="17">
        <v>17</v>
      </c>
      <c r="I227" s="9">
        <v>36</v>
      </c>
      <c r="J227" s="9" t="s">
        <v>10</v>
      </c>
      <c r="K227" s="18">
        <v>0.16</v>
      </c>
      <c r="L227" s="9" t="s">
        <v>21</v>
      </c>
      <c r="M227" s="9" t="s">
        <v>5</v>
      </c>
      <c r="N227" s="9">
        <v>0</v>
      </c>
      <c r="O227" s="9" t="str">
        <f t="shared" si="6"/>
        <v>Excellent</v>
      </c>
      <c r="P227" s="9" t="str">
        <f t="shared" si="7"/>
        <v>Low</v>
      </c>
    </row>
    <row r="228" spans="1:16" x14ac:dyDescent="0.25">
      <c r="A228" s="10" t="s">
        <v>276</v>
      </c>
      <c r="B228" s="11">
        <v>45951</v>
      </c>
      <c r="C228" s="10">
        <v>48</v>
      </c>
      <c r="D228" s="10" t="s">
        <v>9</v>
      </c>
      <c r="E228" s="12">
        <v>485694</v>
      </c>
      <c r="F228" s="10">
        <v>405</v>
      </c>
      <c r="G228" s="12">
        <v>1606053</v>
      </c>
      <c r="H228" s="13">
        <v>22</v>
      </c>
      <c r="I228" s="10">
        <v>24</v>
      </c>
      <c r="J228" s="10" t="s">
        <v>14</v>
      </c>
      <c r="K228" s="14">
        <v>0.37</v>
      </c>
      <c r="L228" s="10" t="s">
        <v>19</v>
      </c>
      <c r="M228" s="10" t="s">
        <v>3</v>
      </c>
      <c r="N228" s="10">
        <v>1</v>
      </c>
      <c r="O228" s="10" t="str">
        <f t="shared" si="6"/>
        <v>Poor</v>
      </c>
      <c r="P228" s="10" t="str">
        <f t="shared" si="7"/>
        <v>Medium</v>
      </c>
    </row>
    <row r="229" spans="1:16" x14ac:dyDescent="0.25">
      <c r="A229" s="9" t="s">
        <v>277</v>
      </c>
      <c r="B229" s="15">
        <v>45637</v>
      </c>
      <c r="C229" s="9">
        <v>53</v>
      </c>
      <c r="D229" s="9" t="s">
        <v>16</v>
      </c>
      <c r="E229" s="16">
        <v>2360636</v>
      </c>
      <c r="F229" s="9">
        <v>428</v>
      </c>
      <c r="G229" s="16">
        <v>1301400</v>
      </c>
      <c r="H229" s="17">
        <v>24</v>
      </c>
      <c r="I229" s="9">
        <v>36</v>
      </c>
      <c r="J229" s="9" t="s">
        <v>12</v>
      </c>
      <c r="K229" s="18">
        <v>0.52</v>
      </c>
      <c r="L229" s="9" t="s">
        <v>22</v>
      </c>
      <c r="M229" s="9" t="s">
        <v>5</v>
      </c>
      <c r="N229" s="9">
        <v>1</v>
      </c>
      <c r="O229" s="9" t="str">
        <f t="shared" si="6"/>
        <v>Poor</v>
      </c>
      <c r="P229" s="9" t="str">
        <f t="shared" si="7"/>
        <v>High</v>
      </c>
    </row>
    <row r="230" spans="1:16" x14ac:dyDescent="0.25">
      <c r="A230" s="10" t="s">
        <v>278</v>
      </c>
      <c r="B230" s="11">
        <v>45174</v>
      </c>
      <c r="C230" s="10">
        <v>61</v>
      </c>
      <c r="D230" s="10" t="s">
        <v>16</v>
      </c>
      <c r="E230" s="12">
        <v>687920</v>
      </c>
      <c r="F230" s="10">
        <v>479</v>
      </c>
      <c r="G230" s="12">
        <v>1904582</v>
      </c>
      <c r="H230" s="13">
        <v>18</v>
      </c>
      <c r="I230" s="10">
        <v>60</v>
      </c>
      <c r="J230" s="10" t="s">
        <v>10</v>
      </c>
      <c r="K230" s="14">
        <v>0.49</v>
      </c>
      <c r="L230" s="10" t="s">
        <v>19</v>
      </c>
      <c r="M230" s="10" t="s">
        <v>3</v>
      </c>
      <c r="N230" s="10">
        <v>0</v>
      </c>
      <c r="O230" s="10" t="str">
        <f t="shared" si="6"/>
        <v>Poor</v>
      </c>
      <c r="P230" s="10" t="str">
        <f t="shared" si="7"/>
        <v>High</v>
      </c>
    </row>
    <row r="231" spans="1:16" x14ac:dyDescent="0.25">
      <c r="A231" s="9" t="s">
        <v>279</v>
      </c>
      <c r="B231" s="15">
        <v>45409</v>
      </c>
      <c r="C231" s="9">
        <v>31</v>
      </c>
      <c r="D231" s="9" t="s">
        <v>17</v>
      </c>
      <c r="E231" s="16">
        <v>2235062</v>
      </c>
      <c r="F231" s="9">
        <v>310</v>
      </c>
      <c r="G231" s="16">
        <v>1989383</v>
      </c>
      <c r="H231" s="17">
        <v>8</v>
      </c>
      <c r="I231" s="9">
        <v>24</v>
      </c>
      <c r="J231" s="9" t="s">
        <v>14</v>
      </c>
      <c r="K231" s="18">
        <v>0.19</v>
      </c>
      <c r="L231" s="9" t="s">
        <v>22</v>
      </c>
      <c r="M231" s="9" t="s">
        <v>2</v>
      </c>
      <c r="N231" s="9">
        <v>1</v>
      </c>
      <c r="O231" s="9" t="str">
        <f t="shared" si="6"/>
        <v>Poor</v>
      </c>
      <c r="P231" s="9" t="str">
        <f t="shared" si="7"/>
        <v>Low</v>
      </c>
    </row>
    <row r="232" spans="1:16" x14ac:dyDescent="0.25">
      <c r="A232" s="10" t="s">
        <v>280</v>
      </c>
      <c r="B232" s="11">
        <v>45261</v>
      </c>
      <c r="C232" s="10">
        <v>24</v>
      </c>
      <c r="D232" s="10" t="s">
        <v>9</v>
      </c>
      <c r="E232" s="12">
        <v>1042393</v>
      </c>
      <c r="F232" s="10">
        <v>366</v>
      </c>
      <c r="G232" s="12">
        <v>736336</v>
      </c>
      <c r="H232" s="13">
        <v>15</v>
      </c>
      <c r="I232" s="10">
        <v>60</v>
      </c>
      <c r="J232" s="10" t="s">
        <v>12</v>
      </c>
      <c r="K232" s="14">
        <v>0.11</v>
      </c>
      <c r="L232" s="10" t="s">
        <v>22</v>
      </c>
      <c r="M232" s="10" t="s">
        <v>5</v>
      </c>
      <c r="N232" s="10">
        <v>0</v>
      </c>
      <c r="O232" s="10" t="str">
        <f t="shared" si="6"/>
        <v>Poor</v>
      </c>
      <c r="P232" s="10" t="str">
        <f t="shared" si="7"/>
        <v>Low</v>
      </c>
    </row>
    <row r="233" spans="1:16" x14ac:dyDescent="0.25">
      <c r="A233" s="9" t="s">
        <v>281</v>
      </c>
      <c r="B233" s="15">
        <v>45695</v>
      </c>
      <c r="C233" s="9">
        <v>29</v>
      </c>
      <c r="D233" s="9" t="s">
        <v>16</v>
      </c>
      <c r="E233" s="16">
        <v>471142</v>
      </c>
      <c r="F233" s="9">
        <v>311</v>
      </c>
      <c r="G233" s="16">
        <v>1579225</v>
      </c>
      <c r="H233" s="17">
        <v>20</v>
      </c>
      <c r="I233" s="9">
        <v>60</v>
      </c>
      <c r="J233" s="9" t="s">
        <v>13</v>
      </c>
      <c r="K233" s="18">
        <v>0.2</v>
      </c>
      <c r="L233" s="9" t="s">
        <v>20</v>
      </c>
      <c r="M233" s="9" t="s">
        <v>5</v>
      </c>
      <c r="N233" s="9">
        <v>0</v>
      </c>
      <c r="O233" s="9" t="str">
        <f t="shared" si="6"/>
        <v>Poor</v>
      </c>
      <c r="P233" s="9" t="str">
        <f t="shared" si="7"/>
        <v>Medium</v>
      </c>
    </row>
    <row r="234" spans="1:16" x14ac:dyDescent="0.25">
      <c r="A234" s="10" t="s">
        <v>282</v>
      </c>
      <c r="B234" s="11">
        <v>44943</v>
      </c>
      <c r="C234" s="10">
        <v>34</v>
      </c>
      <c r="D234" s="10" t="s">
        <v>17</v>
      </c>
      <c r="E234" s="12">
        <v>650331</v>
      </c>
      <c r="F234" s="10">
        <v>812</v>
      </c>
      <c r="G234" s="12">
        <v>1273985</v>
      </c>
      <c r="H234" s="13">
        <v>22</v>
      </c>
      <c r="I234" s="10">
        <v>24</v>
      </c>
      <c r="J234" s="10" t="s">
        <v>12</v>
      </c>
      <c r="K234" s="14">
        <v>0.13</v>
      </c>
      <c r="L234" s="10" t="s">
        <v>21</v>
      </c>
      <c r="M234" s="10" t="s">
        <v>4</v>
      </c>
      <c r="N234" s="10">
        <v>0</v>
      </c>
      <c r="O234" s="10" t="str">
        <f t="shared" si="6"/>
        <v>Excellent</v>
      </c>
      <c r="P234" s="10" t="str">
        <f t="shared" si="7"/>
        <v>Low</v>
      </c>
    </row>
    <row r="235" spans="1:16" x14ac:dyDescent="0.25">
      <c r="A235" s="9" t="s">
        <v>283</v>
      </c>
      <c r="B235" s="15">
        <v>45401</v>
      </c>
      <c r="C235" s="9">
        <v>28</v>
      </c>
      <c r="D235" s="9" t="s">
        <v>16</v>
      </c>
      <c r="E235" s="16">
        <v>1538728</v>
      </c>
      <c r="F235" s="9">
        <v>731</v>
      </c>
      <c r="G235" s="16">
        <v>1538844</v>
      </c>
      <c r="H235" s="17">
        <v>8</v>
      </c>
      <c r="I235" s="9">
        <v>24</v>
      </c>
      <c r="J235" s="9" t="s">
        <v>11</v>
      </c>
      <c r="K235" s="18">
        <v>0.18</v>
      </c>
      <c r="L235" s="9" t="s">
        <v>21</v>
      </c>
      <c r="M235" s="9" t="s">
        <v>2</v>
      </c>
      <c r="N235" s="9">
        <v>0</v>
      </c>
      <c r="O235" s="9" t="str">
        <f t="shared" si="6"/>
        <v>Good</v>
      </c>
      <c r="P235" s="9" t="str">
        <f t="shared" si="7"/>
        <v>Low</v>
      </c>
    </row>
    <row r="236" spans="1:16" x14ac:dyDescent="0.25">
      <c r="A236" s="10" t="s">
        <v>284</v>
      </c>
      <c r="B236" s="11">
        <v>45633</v>
      </c>
      <c r="C236" s="10">
        <v>23</v>
      </c>
      <c r="D236" s="10" t="s">
        <v>17</v>
      </c>
      <c r="E236" s="12">
        <v>2378535</v>
      </c>
      <c r="F236" s="10">
        <v>742</v>
      </c>
      <c r="G236" s="12">
        <v>817972</v>
      </c>
      <c r="H236" s="13">
        <v>17</v>
      </c>
      <c r="I236" s="10">
        <v>36</v>
      </c>
      <c r="J236" s="10" t="s">
        <v>12</v>
      </c>
      <c r="K236" s="14">
        <v>0.25</v>
      </c>
      <c r="L236" s="10" t="s">
        <v>19</v>
      </c>
      <c r="M236" s="10" t="s">
        <v>3</v>
      </c>
      <c r="N236" s="10">
        <v>1</v>
      </c>
      <c r="O236" s="10" t="str">
        <f t="shared" si="6"/>
        <v>Excellent</v>
      </c>
      <c r="P236" s="10" t="str">
        <f t="shared" si="7"/>
        <v>Medium</v>
      </c>
    </row>
    <row r="237" spans="1:16" x14ac:dyDescent="0.25">
      <c r="A237" s="9" t="s">
        <v>285</v>
      </c>
      <c r="B237" s="15">
        <v>45232</v>
      </c>
      <c r="C237" s="9">
        <v>25</v>
      </c>
      <c r="D237" s="9" t="s">
        <v>16</v>
      </c>
      <c r="E237" s="16">
        <v>542113</v>
      </c>
      <c r="F237" s="9">
        <v>775</v>
      </c>
      <c r="G237" s="16">
        <v>541458</v>
      </c>
      <c r="H237" s="17">
        <v>21</v>
      </c>
      <c r="I237" s="9">
        <v>24</v>
      </c>
      <c r="J237" s="9" t="s">
        <v>10</v>
      </c>
      <c r="K237" s="18">
        <v>0.33</v>
      </c>
      <c r="L237" s="9" t="s">
        <v>20</v>
      </c>
      <c r="M237" s="9" t="s">
        <v>2</v>
      </c>
      <c r="N237" s="9">
        <v>0</v>
      </c>
      <c r="O237" s="9" t="str">
        <f t="shared" si="6"/>
        <v>Excellent</v>
      </c>
      <c r="P237" s="9" t="str">
        <f t="shared" si="7"/>
        <v>Medium</v>
      </c>
    </row>
    <row r="238" spans="1:16" x14ac:dyDescent="0.25">
      <c r="A238" s="10" t="s">
        <v>286</v>
      </c>
      <c r="B238" s="11">
        <v>45203</v>
      </c>
      <c r="C238" s="10">
        <v>40</v>
      </c>
      <c r="D238" s="10" t="s">
        <v>17</v>
      </c>
      <c r="E238" s="12">
        <v>2208627</v>
      </c>
      <c r="F238" s="10">
        <v>395</v>
      </c>
      <c r="G238" s="12">
        <v>1027797</v>
      </c>
      <c r="H238" s="13">
        <v>10</v>
      </c>
      <c r="I238" s="10">
        <v>12</v>
      </c>
      <c r="J238" s="10" t="s">
        <v>13</v>
      </c>
      <c r="K238" s="14">
        <v>0.13</v>
      </c>
      <c r="L238" s="10" t="s">
        <v>19</v>
      </c>
      <c r="M238" s="10" t="s">
        <v>3</v>
      </c>
      <c r="N238" s="10">
        <v>0</v>
      </c>
      <c r="O238" s="10" t="str">
        <f t="shared" si="6"/>
        <v>Poor</v>
      </c>
      <c r="P238" s="10" t="str">
        <f t="shared" si="7"/>
        <v>Low</v>
      </c>
    </row>
    <row r="239" spans="1:16" x14ac:dyDescent="0.25">
      <c r="A239" s="9" t="s">
        <v>287</v>
      </c>
      <c r="B239" s="15">
        <v>45628</v>
      </c>
      <c r="C239" s="9">
        <v>24</v>
      </c>
      <c r="D239" s="9" t="s">
        <v>17</v>
      </c>
      <c r="E239" s="16">
        <v>1589093</v>
      </c>
      <c r="F239" s="9">
        <v>514</v>
      </c>
      <c r="G239" s="16">
        <v>711454</v>
      </c>
      <c r="H239" s="17">
        <v>17</v>
      </c>
      <c r="I239" s="9">
        <v>36</v>
      </c>
      <c r="J239" s="9" t="s">
        <v>9</v>
      </c>
      <c r="K239" s="18">
        <v>0.52</v>
      </c>
      <c r="L239" s="9" t="s">
        <v>19</v>
      </c>
      <c r="M239" s="9" t="s">
        <v>4</v>
      </c>
      <c r="N239" s="9">
        <v>1</v>
      </c>
      <c r="O239" s="9" t="str">
        <f t="shared" si="6"/>
        <v>Poor</v>
      </c>
      <c r="P239" s="9" t="str">
        <f t="shared" si="7"/>
        <v>High</v>
      </c>
    </row>
    <row r="240" spans="1:16" x14ac:dyDescent="0.25">
      <c r="A240" s="10" t="s">
        <v>288</v>
      </c>
      <c r="B240" s="11">
        <v>45681</v>
      </c>
      <c r="C240" s="10">
        <v>58</v>
      </c>
      <c r="D240" s="10" t="s">
        <v>17</v>
      </c>
      <c r="E240" s="12">
        <v>367198</v>
      </c>
      <c r="F240" s="10">
        <v>367</v>
      </c>
      <c r="G240" s="12">
        <v>1315444</v>
      </c>
      <c r="H240" s="13">
        <v>13</v>
      </c>
      <c r="I240" s="10">
        <v>24</v>
      </c>
      <c r="J240" s="10" t="s">
        <v>11</v>
      </c>
      <c r="K240" s="14">
        <v>0.19</v>
      </c>
      <c r="L240" s="10" t="s">
        <v>20</v>
      </c>
      <c r="M240" s="10" t="s">
        <v>4</v>
      </c>
      <c r="N240" s="10">
        <v>0</v>
      </c>
      <c r="O240" s="10" t="str">
        <f t="shared" si="6"/>
        <v>Poor</v>
      </c>
      <c r="P240" s="10" t="str">
        <f t="shared" si="7"/>
        <v>Low</v>
      </c>
    </row>
    <row r="241" spans="1:16" x14ac:dyDescent="0.25">
      <c r="A241" s="9" t="s">
        <v>289</v>
      </c>
      <c r="B241" s="15">
        <v>45546</v>
      </c>
      <c r="C241" s="9">
        <v>53</v>
      </c>
      <c r="D241" s="9" t="s">
        <v>17</v>
      </c>
      <c r="E241" s="16">
        <v>1340904</v>
      </c>
      <c r="F241" s="9">
        <v>672</v>
      </c>
      <c r="G241" s="16">
        <v>1232094</v>
      </c>
      <c r="H241" s="17">
        <v>15</v>
      </c>
      <c r="I241" s="9">
        <v>12</v>
      </c>
      <c r="J241" s="9" t="s">
        <v>14</v>
      </c>
      <c r="K241" s="18">
        <v>0.25</v>
      </c>
      <c r="L241" s="9" t="s">
        <v>20</v>
      </c>
      <c r="M241" s="9" t="s">
        <v>2</v>
      </c>
      <c r="N241" s="9">
        <v>0</v>
      </c>
      <c r="O241" s="9" t="str">
        <f t="shared" si="6"/>
        <v>Good</v>
      </c>
      <c r="P241" s="9" t="str">
        <f t="shared" si="7"/>
        <v>Medium</v>
      </c>
    </row>
    <row r="242" spans="1:16" x14ac:dyDescent="0.25">
      <c r="A242" s="10" t="s">
        <v>290</v>
      </c>
      <c r="B242" s="11">
        <v>45260</v>
      </c>
      <c r="C242" s="10">
        <v>42</v>
      </c>
      <c r="D242" s="10" t="s">
        <v>17</v>
      </c>
      <c r="E242" s="12">
        <v>2087027</v>
      </c>
      <c r="F242" s="10">
        <v>678</v>
      </c>
      <c r="G242" s="12">
        <v>1177870</v>
      </c>
      <c r="H242" s="13">
        <v>7</v>
      </c>
      <c r="I242" s="10">
        <v>60</v>
      </c>
      <c r="J242" s="10" t="s">
        <v>11</v>
      </c>
      <c r="K242" s="14">
        <v>0.14000000000000001</v>
      </c>
      <c r="L242" s="10" t="s">
        <v>22</v>
      </c>
      <c r="M242" s="10" t="s">
        <v>2</v>
      </c>
      <c r="N242" s="10">
        <v>0</v>
      </c>
      <c r="O242" s="10" t="str">
        <f t="shared" si="6"/>
        <v>Good</v>
      </c>
      <c r="P242" s="10" t="str">
        <f t="shared" si="7"/>
        <v>Low</v>
      </c>
    </row>
    <row r="243" spans="1:16" x14ac:dyDescent="0.25">
      <c r="A243" s="9" t="s">
        <v>291</v>
      </c>
      <c r="B243" s="15">
        <v>45621</v>
      </c>
      <c r="C243" s="9">
        <v>25</v>
      </c>
      <c r="D243" s="9" t="s">
        <v>16</v>
      </c>
      <c r="E243" s="16">
        <v>1673493</v>
      </c>
      <c r="F243" s="9">
        <v>767</v>
      </c>
      <c r="G243" s="16">
        <v>574826</v>
      </c>
      <c r="H243" s="17">
        <v>18</v>
      </c>
      <c r="I243" s="9">
        <v>12</v>
      </c>
      <c r="J243" s="9" t="s">
        <v>12</v>
      </c>
      <c r="K243" s="18">
        <v>0.38</v>
      </c>
      <c r="L243" s="9" t="s">
        <v>22</v>
      </c>
      <c r="M243" s="9" t="s">
        <v>2</v>
      </c>
      <c r="N243" s="9">
        <v>0</v>
      </c>
      <c r="O243" s="9" t="str">
        <f t="shared" si="6"/>
        <v>Excellent</v>
      </c>
      <c r="P243" s="9" t="str">
        <f t="shared" si="7"/>
        <v>Medium</v>
      </c>
    </row>
    <row r="244" spans="1:16" x14ac:dyDescent="0.25">
      <c r="A244" s="10" t="s">
        <v>292</v>
      </c>
      <c r="B244" s="11">
        <v>45078</v>
      </c>
      <c r="C244" s="10">
        <v>52</v>
      </c>
      <c r="D244" s="10" t="s">
        <v>9</v>
      </c>
      <c r="E244" s="12">
        <v>321920</v>
      </c>
      <c r="F244" s="10">
        <v>849</v>
      </c>
      <c r="G244" s="12">
        <v>1832590</v>
      </c>
      <c r="H244" s="13">
        <v>10</v>
      </c>
      <c r="I244" s="10">
        <v>36</v>
      </c>
      <c r="J244" s="10" t="s">
        <v>10</v>
      </c>
      <c r="K244" s="14">
        <v>0.4</v>
      </c>
      <c r="L244" s="10" t="s">
        <v>21</v>
      </c>
      <c r="M244" s="10" t="s">
        <v>4</v>
      </c>
      <c r="N244" s="10">
        <v>0</v>
      </c>
      <c r="O244" s="10" t="str">
        <f t="shared" si="6"/>
        <v>Excellent</v>
      </c>
      <c r="P244" s="10" t="str">
        <f t="shared" si="7"/>
        <v>High</v>
      </c>
    </row>
    <row r="245" spans="1:16" x14ac:dyDescent="0.25">
      <c r="A245" s="9" t="s">
        <v>293</v>
      </c>
      <c r="B245" s="15">
        <v>45909</v>
      </c>
      <c r="C245" s="9">
        <v>36</v>
      </c>
      <c r="D245" s="9" t="s">
        <v>17</v>
      </c>
      <c r="E245" s="16">
        <v>1698229</v>
      </c>
      <c r="F245" s="9">
        <v>633</v>
      </c>
      <c r="G245" s="16">
        <v>1315288</v>
      </c>
      <c r="H245" s="17">
        <v>14</v>
      </c>
      <c r="I245" s="9">
        <v>60</v>
      </c>
      <c r="J245" s="9" t="s">
        <v>10</v>
      </c>
      <c r="K245" s="18">
        <v>0.11</v>
      </c>
      <c r="L245" s="9" t="s">
        <v>21</v>
      </c>
      <c r="M245" s="9" t="s">
        <v>2</v>
      </c>
      <c r="N245" s="9">
        <v>0</v>
      </c>
      <c r="O245" s="9" t="str">
        <f t="shared" si="6"/>
        <v>Fair</v>
      </c>
      <c r="P245" s="9" t="str">
        <f t="shared" si="7"/>
        <v>Low</v>
      </c>
    </row>
    <row r="246" spans="1:16" x14ac:dyDescent="0.25">
      <c r="A246" s="10" t="s">
        <v>294</v>
      </c>
      <c r="B246" s="11">
        <v>45056</v>
      </c>
      <c r="C246" s="10">
        <v>56</v>
      </c>
      <c r="D246" s="10" t="s">
        <v>16</v>
      </c>
      <c r="E246" s="12">
        <v>513186</v>
      </c>
      <c r="F246" s="10">
        <v>481</v>
      </c>
      <c r="G246" s="12">
        <v>638915</v>
      </c>
      <c r="H246" s="13">
        <v>21</v>
      </c>
      <c r="I246" s="10">
        <v>24</v>
      </c>
      <c r="J246" s="10" t="s">
        <v>11</v>
      </c>
      <c r="K246" s="14">
        <v>0.59</v>
      </c>
      <c r="L246" s="10" t="s">
        <v>22</v>
      </c>
      <c r="M246" s="10" t="s">
        <v>3</v>
      </c>
      <c r="N246" s="10">
        <v>1</v>
      </c>
      <c r="O246" s="10" t="str">
        <f t="shared" si="6"/>
        <v>Poor</v>
      </c>
      <c r="P246" s="10" t="str">
        <f t="shared" si="7"/>
        <v>High</v>
      </c>
    </row>
    <row r="247" spans="1:16" x14ac:dyDescent="0.25">
      <c r="A247" s="9" t="s">
        <v>295</v>
      </c>
      <c r="B247" s="15">
        <v>45733</v>
      </c>
      <c r="C247" s="9">
        <v>64</v>
      </c>
      <c r="D247" s="9" t="s">
        <v>17</v>
      </c>
      <c r="E247" s="16">
        <v>2287846</v>
      </c>
      <c r="F247" s="9">
        <v>576</v>
      </c>
      <c r="G247" s="16">
        <v>1862095</v>
      </c>
      <c r="H247" s="17">
        <v>17</v>
      </c>
      <c r="I247" s="9">
        <v>60</v>
      </c>
      <c r="J247" s="9" t="s">
        <v>11</v>
      </c>
      <c r="K247" s="18">
        <v>0.53</v>
      </c>
      <c r="L247" s="9" t="s">
        <v>21</v>
      </c>
      <c r="M247" s="9" t="s">
        <v>2</v>
      </c>
      <c r="N247" s="9">
        <v>1</v>
      </c>
      <c r="O247" s="9" t="str">
        <f t="shared" si="6"/>
        <v>Poor</v>
      </c>
      <c r="P247" s="9" t="str">
        <f t="shared" si="7"/>
        <v>High</v>
      </c>
    </row>
    <row r="248" spans="1:16" x14ac:dyDescent="0.25">
      <c r="A248" s="10" t="s">
        <v>296</v>
      </c>
      <c r="B248" s="11">
        <v>45220</v>
      </c>
      <c r="C248" s="10">
        <v>49</v>
      </c>
      <c r="D248" s="10" t="s">
        <v>17</v>
      </c>
      <c r="E248" s="12">
        <v>1833822</v>
      </c>
      <c r="F248" s="10">
        <v>833</v>
      </c>
      <c r="G248" s="12">
        <v>1081672</v>
      </c>
      <c r="H248" s="13">
        <v>17</v>
      </c>
      <c r="I248" s="10">
        <v>24</v>
      </c>
      <c r="J248" s="10" t="s">
        <v>14</v>
      </c>
      <c r="K248" s="14">
        <v>0.44</v>
      </c>
      <c r="L248" s="10" t="s">
        <v>18</v>
      </c>
      <c r="M248" s="10" t="s">
        <v>3</v>
      </c>
      <c r="N248" s="10">
        <v>0</v>
      </c>
      <c r="O248" s="10" t="str">
        <f t="shared" si="6"/>
        <v>Excellent</v>
      </c>
      <c r="P248" s="10" t="str">
        <f t="shared" si="7"/>
        <v>High</v>
      </c>
    </row>
    <row r="249" spans="1:16" x14ac:dyDescent="0.25">
      <c r="A249" s="9" t="s">
        <v>297</v>
      </c>
      <c r="B249" s="15">
        <v>45130</v>
      </c>
      <c r="C249" s="9">
        <v>38</v>
      </c>
      <c r="D249" s="9" t="s">
        <v>9</v>
      </c>
      <c r="E249" s="16">
        <v>795851</v>
      </c>
      <c r="F249" s="9">
        <v>317</v>
      </c>
      <c r="G249" s="16">
        <v>295677</v>
      </c>
      <c r="H249" s="17">
        <v>12</v>
      </c>
      <c r="I249" s="9">
        <v>36</v>
      </c>
      <c r="J249" s="9" t="s">
        <v>11</v>
      </c>
      <c r="K249" s="18">
        <v>0.46</v>
      </c>
      <c r="L249" s="9" t="s">
        <v>22</v>
      </c>
      <c r="M249" s="9" t="s">
        <v>2</v>
      </c>
      <c r="N249" s="9">
        <v>1</v>
      </c>
      <c r="O249" s="9" t="str">
        <f t="shared" si="6"/>
        <v>Poor</v>
      </c>
      <c r="P249" s="9" t="str">
        <f t="shared" si="7"/>
        <v>High</v>
      </c>
    </row>
    <row r="250" spans="1:16" x14ac:dyDescent="0.25">
      <c r="A250" s="10" t="s">
        <v>298</v>
      </c>
      <c r="B250" s="11">
        <v>45491</v>
      </c>
      <c r="C250" s="10">
        <v>64</v>
      </c>
      <c r="D250" s="10" t="s">
        <v>9</v>
      </c>
      <c r="E250" s="12">
        <v>1778223</v>
      </c>
      <c r="F250" s="10">
        <v>762</v>
      </c>
      <c r="G250" s="12">
        <v>1455373</v>
      </c>
      <c r="H250" s="13">
        <v>24</v>
      </c>
      <c r="I250" s="10">
        <v>36</v>
      </c>
      <c r="J250" s="10" t="s">
        <v>13</v>
      </c>
      <c r="K250" s="14">
        <v>0.25</v>
      </c>
      <c r="L250" s="10" t="s">
        <v>20</v>
      </c>
      <c r="M250" s="10" t="s">
        <v>4</v>
      </c>
      <c r="N250" s="10">
        <v>0</v>
      </c>
      <c r="O250" s="10" t="str">
        <f t="shared" si="6"/>
        <v>Excellent</v>
      </c>
      <c r="P250" s="10" t="str">
        <f t="shared" si="7"/>
        <v>Medium</v>
      </c>
    </row>
    <row r="251" spans="1:16" x14ac:dyDescent="0.25">
      <c r="A251" s="9" t="s">
        <v>299</v>
      </c>
      <c r="B251" s="15">
        <v>45333</v>
      </c>
      <c r="C251" s="9">
        <v>37</v>
      </c>
      <c r="D251" s="9" t="s">
        <v>17</v>
      </c>
      <c r="E251" s="16">
        <v>386157</v>
      </c>
      <c r="F251" s="9">
        <v>607</v>
      </c>
      <c r="G251" s="16">
        <v>744297</v>
      </c>
      <c r="H251" s="17">
        <v>7</v>
      </c>
      <c r="I251" s="9">
        <v>12</v>
      </c>
      <c r="J251" s="9" t="s">
        <v>13</v>
      </c>
      <c r="K251" s="18">
        <v>0.44</v>
      </c>
      <c r="L251" s="9" t="s">
        <v>18</v>
      </c>
      <c r="M251" s="9" t="s">
        <v>3</v>
      </c>
      <c r="N251" s="9">
        <v>0</v>
      </c>
      <c r="O251" s="9" t="str">
        <f t="shared" si="6"/>
        <v>Fair</v>
      </c>
      <c r="P251" s="9" t="str">
        <f t="shared" si="7"/>
        <v>High</v>
      </c>
    </row>
    <row r="252" spans="1:16" x14ac:dyDescent="0.25">
      <c r="A252" s="10" t="s">
        <v>300</v>
      </c>
      <c r="B252" s="11">
        <v>45024</v>
      </c>
      <c r="C252" s="10">
        <v>37</v>
      </c>
      <c r="D252" s="10" t="s">
        <v>9</v>
      </c>
      <c r="E252" s="12">
        <v>1968695</v>
      </c>
      <c r="F252" s="10">
        <v>441</v>
      </c>
      <c r="G252" s="12">
        <v>830901</v>
      </c>
      <c r="H252" s="13">
        <v>24</v>
      </c>
      <c r="I252" s="10">
        <v>12</v>
      </c>
      <c r="J252" s="10" t="s">
        <v>14</v>
      </c>
      <c r="K252" s="14">
        <v>0.12</v>
      </c>
      <c r="L252" s="10" t="s">
        <v>22</v>
      </c>
      <c r="M252" s="10" t="s">
        <v>4</v>
      </c>
      <c r="N252" s="10">
        <v>0</v>
      </c>
      <c r="O252" s="10" t="str">
        <f t="shared" si="6"/>
        <v>Poor</v>
      </c>
      <c r="P252" s="10" t="str">
        <f t="shared" si="7"/>
        <v>Low</v>
      </c>
    </row>
    <row r="253" spans="1:16" x14ac:dyDescent="0.25">
      <c r="A253" s="9" t="s">
        <v>301</v>
      </c>
      <c r="B253" s="15">
        <v>45388</v>
      </c>
      <c r="C253" s="9">
        <v>57</v>
      </c>
      <c r="D253" s="9" t="s">
        <v>16</v>
      </c>
      <c r="E253" s="16">
        <v>722787</v>
      </c>
      <c r="F253" s="9">
        <v>482</v>
      </c>
      <c r="G253" s="16">
        <v>1796199</v>
      </c>
      <c r="H253" s="17">
        <v>24</v>
      </c>
      <c r="I253" s="9">
        <v>36</v>
      </c>
      <c r="J253" s="9" t="s">
        <v>9</v>
      </c>
      <c r="K253" s="18">
        <v>0.16</v>
      </c>
      <c r="L253" s="9" t="s">
        <v>19</v>
      </c>
      <c r="M253" s="9" t="s">
        <v>3</v>
      </c>
      <c r="N253" s="9">
        <v>1</v>
      </c>
      <c r="O253" s="9" t="str">
        <f t="shared" si="6"/>
        <v>Poor</v>
      </c>
      <c r="P253" s="9" t="str">
        <f t="shared" si="7"/>
        <v>Low</v>
      </c>
    </row>
    <row r="254" spans="1:16" x14ac:dyDescent="0.25">
      <c r="A254" s="10" t="s">
        <v>302</v>
      </c>
      <c r="B254" s="11">
        <v>45231</v>
      </c>
      <c r="C254" s="10">
        <v>30</v>
      </c>
      <c r="D254" s="10" t="s">
        <v>9</v>
      </c>
      <c r="E254" s="12">
        <v>413624</v>
      </c>
      <c r="F254" s="10">
        <v>646</v>
      </c>
      <c r="G254" s="12">
        <v>1363622</v>
      </c>
      <c r="H254" s="13">
        <v>20</v>
      </c>
      <c r="I254" s="10">
        <v>24</v>
      </c>
      <c r="J254" s="10" t="s">
        <v>13</v>
      </c>
      <c r="K254" s="14">
        <v>0.46</v>
      </c>
      <c r="L254" s="10" t="s">
        <v>19</v>
      </c>
      <c r="M254" s="10" t="s">
        <v>2</v>
      </c>
      <c r="N254" s="10">
        <v>0</v>
      </c>
      <c r="O254" s="10" t="str">
        <f t="shared" si="6"/>
        <v>Fair</v>
      </c>
      <c r="P254" s="10" t="str">
        <f t="shared" si="7"/>
        <v>High</v>
      </c>
    </row>
    <row r="255" spans="1:16" x14ac:dyDescent="0.25">
      <c r="A255" s="9" t="s">
        <v>303</v>
      </c>
      <c r="B255" s="15">
        <v>45503</v>
      </c>
      <c r="C255" s="9">
        <v>31</v>
      </c>
      <c r="D255" s="9" t="s">
        <v>16</v>
      </c>
      <c r="E255" s="16">
        <v>283694</v>
      </c>
      <c r="F255" s="9">
        <v>597</v>
      </c>
      <c r="G255" s="16">
        <v>1751041</v>
      </c>
      <c r="H255" s="17">
        <v>8</v>
      </c>
      <c r="I255" s="9">
        <v>60</v>
      </c>
      <c r="J255" s="9" t="s">
        <v>10</v>
      </c>
      <c r="K255" s="18">
        <v>0.27</v>
      </c>
      <c r="L255" s="9" t="s">
        <v>21</v>
      </c>
      <c r="M255" s="9" t="s">
        <v>3</v>
      </c>
      <c r="N255" s="9">
        <v>0</v>
      </c>
      <c r="O255" s="9" t="str">
        <f t="shared" si="6"/>
        <v>Fair</v>
      </c>
      <c r="P255" s="9" t="str">
        <f t="shared" si="7"/>
        <v>Medium</v>
      </c>
    </row>
    <row r="256" spans="1:16" x14ac:dyDescent="0.25">
      <c r="A256" s="10" t="s">
        <v>304</v>
      </c>
      <c r="B256" s="11">
        <v>45911</v>
      </c>
      <c r="C256" s="10">
        <v>45</v>
      </c>
      <c r="D256" s="10" t="s">
        <v>17</v>
      </c>
      <c r="E256" s="12">
        <v>928266</v>
      </c>
      <c r="F256" s="10">
        <v>390</v>
      </c>
      <c r="G256" s="12">
        <v>1174234</v>
      </c>
      <c r="H256" s="13">
        <v>20</v>
      </c>
      <c r="I256" s="10">
        <v>36</v>
      </c>
      <c r="J256" s="10" t="s">
        <v>12</v>
      </c>
      <c r="K256" s="14">
        <v>0.35</v>
      </c>
      <c r="L256" s="10" t="s">
        <v>21</v>
      </c>
      <c r="M256" s="10" t="s">
        <v>3</v>
      </c>
      <c r="N256" s="10">
        <v>1</v>
      </c>
      <c r="O256" s="10" t="str">
        <f t="shared" si="6"/>
        <v>Poor</v>
      </c>
      <c r="P256" s="10" t="str">
        <f t="shared" si="7"/>
        <v>Medium</v>
      </c>
    </row>
    <row r="257" spans="1:16" x14ac:dyDescent="0.25">
      <c r="A257" s="9" t="s">
        <v>305</v>
      </c>
      <c r="B257" s="15">
        <v>45904</v>
      </c>
      <c r="C257" s="9">
        <v>50</v>
      </c>
      <c r="D257" s="9" t="s">
        <v>16</v>
      </c>
      <c r="E257" s="16">
        <v>1332815</v>
      </c>
      <c r="F257" s="9">
        <v>791</v>
      </c>
      <c r="G257" s="16">
        <v>1225759</v>
      </c>
      <c r="H257" s="17">
        <v>15</v>
      </c>
      <c r="I257" s="9">
        <v>36</v>
      </c>
      <c r="J257" s="9" t="s">
        <v>14</v>
      </c>
      <c r="K257" s="18">
        <v>0.42</v>
      </c>
      <c r="L257" s="9" t="s">
        <v>19</v>
      </c>
      <c r="M257" s="9" t="s">
        <v>3</v>
      </c>
      <c r="N257" s="9">
        <v>0</v>
      </c>
      <c r="O257" s="9" t="str">
        <f t="shared" si="6"/>
        <v>Excellent</v>
      </c>
      <c r="P257" s="9" t="str">
        <f t="shared" si="7"/>
        <v>High</v>
      </c>
    </row>
    <row r="258" spans="1:16" x14ac:dyDescent="0.25">
      <c r="A258" s="10" t="s">
        <v>306</v>
      </c>
      <c r="B258" s="11">
        <v>45444</v>
      </c>
      <c r="C258" s="10">
        <v>51</v>
      </c>
      <c r="D258" s="10" t="s">
        <v>16</v>
      </c>
      <c r="E258" s="12">
        <v>1920211</v>
      </c>
      <c r="F258" s="10">
        <v>367</v>
      </c>
      <c r="G258" s="12">
        <v>221745</v>
      </c>
      <c r="H258" s="13">
        <v>12</v>
      </c>
      <c r="I258" s="10">
        <v>36</v>
      </c>
      <c r="J258" s="10" t="s">
        <v>11</v>
      </c>
      <c r="K258" s="14">
        <v>0.39</v>
      </c>
      <c r="L258" s="10" t="s">
        <v>21</v>
      </c>
      <c r="M258" s="10" t="s">
        <v>3</v>
      </c>
      <c r="N258" s="10">
        <v>0</v>
      </c>
      <c r="O258" s="10" t="str">
        <f t="shared" ref="O258:O321" si="8">IF(F258&lt;580,"Poor",IF(F258&lt;670,"Fair",IF(F258&lt;740,"Good","Excellent")))</f>
        <v>Poor</v>
      </c>
      <c r="P258" s="10" t="str">
        <f t="shared" ref="P258:P321" si="9">IF(K258&lt;0.2,"Low",IF(K258&lt;0.4,"Medium","High"))</f>
        <v>Medium</v>
      </c>
    </row>
    <row r="259" spans="1:16" x14ac:dyDescent="0.25">
      <c r="A259" s="9" t="s">
        <v>307</v>
      </c>
      <c r="B259" s="15">
        <v>45322</v>
      </c>
      <c r="C259" s="9">
        <v>26</v>
      </c>
      <c r="D259" s="9" t="s">
        <v>17</v>
      </c>
      <c r="E259" s="16">
        <v>839365</v>
      </c>
      <c r="F259" s="9">
        <v>606</v>
      </c>
      <c r="G259" s="16">
        <v>1081048</v>
      </c>
      <c r="H259" s="17">
        <v>9</v>
      </c>
      <c r="I259" s="9">
        <v>36</v>
      </c>
      <c r="J259" s="9" t="s">
        <v>11</v>
      </c>
      <c r="K259" s="18">
        <v>0.39</v>
      </c>
      <c r="L259" s="9" t="s">
        <v>20</v>
      </c>
      <c r="M259" s="9" t="s">
        <v>4</v>
      </c>
      <c r="N259" s="9">
        <v>0</v>
      </c>
      <c r="O259" s="9" t="str">
        <f t="shared" si="8"/>
        <v>Fair</v>
      </c>
      <c r="P259" s="9" t="str">
        <f t="shared" si="9"/>
        <v>Medium</v>
      </c>
    </row>
    <row r="260" spans="1:16" x14ac:dyDescent="0.25">
      <c r="A260" s="10" t="s">
        <v>308</v>
      </c>
      <c r="B260" s="11">
        <v>45135</v>
      </c>
      <c r="C260" s="10">
        <v>27</v>
      </c>
      <c r="D260" s="10" t="s">
        <v>16</v>
      </c>
      <c r="E260" s="12">
        <v>614349</v>
      </c>
      <c r="F260" s="10">
        <v>638</v>
      </c>
      <c r="G260" s="12">
        <v>505586</v>
      </c>
      <c r="H260" s="13">
        <v>14</v>
      </c>
      <c r="I260" s="10">
        <v>60</v>
      </c>
      <c r="J260" s="10" t="s">
        <v>10</v>
      </c>
      <c r="K260" s="14">
        <v>0.48</v>
      </c>
      <c r="L260" s="10" t="s">
        <v>19</v>
      </c>
      <c r="M260" s="10" t="s">
        <v>2</v>
      </c>
      <c r="N260" s="10">
        <v>0</v>
      </c>
      <c r="O260" s="10" t="str">
        <f t="shared" si="8"/>
        <v>Fair</v>
      </c>
      <c r="P260" s="10" t="str">
        <f t="shared" si="9"/>
        <v>High</v>
      </c>
    </row>
    <row r="261" spans="1:16" x14ac:dyDescent="0.25">
      <c r="A261" s="9" t="s">
        <v>309</v>
      </c>
      <c r="B261" s="15">
        <v>45711</v>
      </c>
      <c r="C261" s="9">
        <v>45</v>
      </c>
      <c r="D261" s="9" t="s">
        <v>16</v>
      </c>
      <c r="E261" s="16">
        <v>2252579</v>
      </c>
      <c r="F261" s="9">
        <v>641</v>
      </c>
      <c r="G261" s="16">
        <v>632375</v>
      </c>
      <c r="H261" s="17">
        <v>17</v>
      </c>
      <c r="I261" s="9">
        <v>60</v>
      </c>
      <c r="J261" s="9" t="s">
        <v>14</v>
      </c>
      <c r="K261" s="18">
        <v>0.43</v>
      </c>
      <c r="L261" s="9" t="s">
        <v>19</v>
      </c>
      <c r="M261" s="9" t="s">
        <v>3</v>
      </c>
      <c r="N261" s="9">
        <v>0</v>
      </c>
      <c r="O261" s="9" t="str">
        <f t="shared" si="8"/>
        <v>Fair</v>
      </c>
      <c r="P261" s="9" t="str">
        <f t="shared" si="9"/>
        <v>High</v>
      </c>
    </row>
    <row r="262" spans="1:16" x14ac:dyDescent="0.25">
      <c r="A262" s="10" t="s">
        <v>310</v>
      </c>
      <c r="B262" s="11">
        <v>45639</v>
      </c>
      <c r="C262" s="10">
        <v>52</v>
      </c>
      <c r="D262" s="10" t="s">
        <v>16</v>
      </c>
      <c r="E262" s="12">
        <v>1446085</v>
      </c>
      <c r="F262" s="10">
        <v>454</v>
      </c>
      <c r="G262" s="12">
        <v>1528644</v>
      </c>
      <c r="H262" s="13">
        <v>7</v>
      </c>
      <c r="I262" s="10">
        <v>12</v>
      </c>
      <c r="J262" s="10" t="s">
        <v>10</v>
      </c>
      <c r="K262" s="14">
        <v>0.52</v>
      </c>
      <c r="L262" s="10" t="s">
        <v>21</v>
      </c>
      <c r="M262" s="10" t="s">
        <v>5</v>
      </c>
      <c r="N262" s="10">
        <v>1</v>
      </c>
      <c r="O262" s="10" t="str">
        <f t="shared" si="8"/>
        <v>Poor</v>
      </c>
      <c r="P262" s="10" t="str">
        <f t="shared" si="9"/>
        <v>High</v>
      </c>
    </row>
    <row r="263" spans="1:16" x14ac:dyDescent="0.25">
      <c r="A263" s="9" t="s">
        <v>311</v>
      </c>
      <c r="B263" s="15">
        <v>45233</v>
      </c>
      <c r="C263" s="9">
        <v>59</v>
      </c>
      <c r="D263" s="9" t="s">
        <v>16</v>
      </c>
      <c r="E263" s="16">
        <v>1125268</v>
      </c>
      <c r="F263" s="9">
        <v>646</v>
      </c>
      <c r="G263" s="16">
        <v>312147</v>
      </c>
      <c r="H263" s="17">
        <v>10</v>
      </c>
      <c r="I263" s="9">
        <v>24</v>
      </c>
      <c r="J263" s="9" t="s">
        <v>12</v>
      </c>
      <c r="K263" s="18">
        <v>0.56000000000000005</v>
      </c>
      <c r="L263" s="9" t="s">
        <v>19</v>
      </c>
      <c r="M263" s="9" t="s">
        <v>3</v>
      </c>
      <c r="N263" s="9">
        <v>0</v>
      </c>
      <c r="O263" s="9" t="str">
        <f t="shared" si="8"/>
        <v>Fair</v>
      </c>
      <c r="P263" s="9" t="str">
        <f t="shared" si="9"/>
        <v>High</v>
      </c>
    </row>
    <row r="264" spans="1:16" x14ac:dyDescent="0.25">
      <c r="A264" s="10" t="s">
        <v>312</v>
      </c>
      <c r="B264" s="11">
        <v>44942</v>
      </c>
      <c r="C264" s="10">
        <v>55</v>
      </c>
      <c r="D264" s="10" t="s">
        <v>17</v>
      </c>
      <c r="E264" s="12">
        <v>1983860</v>
      </c>
      <c r="F264" s="10">
        <v>312</v>
      </c>
      <c r="G264" s="12">
        <v>1978558</v>
      </c>
      <c r="H264" s="13">
        <v>8</v>
      </c>
      <c r="I264" s="10">
        <v>60</v>
      </c>
      <c r="J264" s="10" t="s">
        <v>10</v>
      </c>
      <c r="K264" s="14">
        <v>0.43</v>
      </c>
      <c r="L264" s="10" t="s">
        <v>20</v>
      </c>
      <c r="M264" s="10" t="s">
        <v>2</v>
      </c>
      <c r="N264" s="10">
        <v>1</v>
      </c>
      <c r="O264" s="10" t="str">
        <f t="shared" si="8"/>
        <v>Poor</v>
      </c>
      <c r="P264" s="10" t="str">
        <f t="shared" si="9"/>
        <v>High</v>
      </c>
    </row>
    <row r="265" spans="1:16" x14ac:dyDescent="0.25">
      <c r="A265" s="9" t="s">
        <v>313</v>
      </c>
      <c r="B265" s="15">
        <v>46006</v>
      </c>
      <c r="C265" s="9">
        <v>64</v>
      </c>
      <c r="D265" s="9" t="s">
        <v>17</v>
      </c>
      <c r="E265" s="16">
        <v>1752099</v>
      </c>
      <c r="F265" s="9">
        <v>828</v>
      </c>
      <c r="G265" s="16">
        <v>633196</v>
      </c>
      <c r="H265" s="17">
        <v>9</v>
      </c>
      <c r="I265" s="9">
        <v>36</v>
      </c>
      <c r="J265" s="9" t="s">
        <v>12</v>
      </c>
      <c r="K265" s="18">
        <v>0.51</v>
      </c>
      <c r="L265" s="9" t="s">
        <v>20</v>
      </c>
      <c r="M265" s="9" t="s">
        <v>2</v>
      </c>
      <c r="N265" s="9">
        <v>0</v>
      </c>
      <c r="O265" s="9" t="str">
        <f t="shared" si="8"/>
        <v>Excellent</v>
      </c>
      <c r="P265" s="9" t="str">
        <f t="shared" si="9"/>
        <v>High</v>
      </c>
    </row>
    <row r="266" spans="1:16" x14ac:dyDescent="0.25">
      <c r="A266" s="10" t="s">
        <v>314</v>
      </c>
      <c r="B266" s="11">
        <v>44942</v>
      </c>
      <c r="C266" s="10">
        <v>40</v>
      </c>
      <c r="D266" s="10" t="s">
        <v>16</v>
      </c>
      <c r="E266" s="12">
        <v>1888996</v>
      </c>
      <c r="F266" s="10">
        <v>806</v>
      </c>
      <c r="G266" s="12">
        <v>1275166</v>
      </c>
      <c r="H266" s="13">
        <v>18</v>
      </c>
      <c r="I266" s="10">
        <v>36</v>
      </c>
      <c r="J266" s="10" t="s">
        <v>12</v>
      </c>
      <c r="K266" s="14">
        <v>0.6</v>
      </c>
      <c r="L266" s="10" t="s">
        <v>18</v>
      </c>
      <c r="M266" s="10" t="s">
        <v>4</v>
      </c>
      <c r="N266" s="10">
        <v>1</v>
      </c>
      <c r="O266" s="10" t="str">
        <f t="shared" si="8"/>
        <v>Excellent</v>
      </c>
      <c r="P266" s="10" t="str">
        <f t="shared" si="9"/>
        <v>High</v>
      </c>
    </row>
    <row r="267" spans="1:16" x14ac:dyDescent="0.25">
      <c r="A267" s="9" t="s">
        <v>315</v>
      </c>
      <c r="B267" s="15">
        <v>45435</v>
      </c>
      <c r="C267" s="9">
        <v>57</v>
      </c>
      <c r="D267" s="9" t="s">
        <v>9</v>
      </c>
      <c r="E267" s="16">
        <v>1452650</v>
      </c>
      <c r="F267" s="9">
        <v>569</v>
      </c>
      <c r="G267" s="16">
        <v>1037545</v>
      </c>
      <c r="H267" s="17">
        <v>21</v>
      </c>
      <c r="I267" s="9">
        <v>36</v>
      </c>
      <c r="J267" s="9" t="s">
        <v>14</v>
      </c>
      <c r="K267" s="18">
        <v>0.22</v>
      </c>
      <c r="L267" s="9" t="s">
        <v>19</v>
      </c>
      <c r="M267" s="9" t="s">
        <v>5</v>
      </c>
      <c r="N267" s="9">
        <v>0</v>
      </c>
      <c r="O267" s="9" t="str">
        <f t="shared" si="8"/>
        <v>Poor</v>
      </c>
      <c r="P267" s="9" t="str">
        <f t="shared" si="9"/>
        <v>Medium</v>
      </c>
    </row>
    <row r="268" spans="1:16" x14ac:dyDescent="0.25">
      <c r="A268" s="10" t="s">
        <v>316</v>
      </c>
      <c r="B268" s="11">
        <v>45809</v>
      </c>
      <c r="C268" s="10">
        <v>26</v>
      </c>
      <c r="D268" s="10" t="s">
        <v>17</v>
      </c>
      <c r="E268" s="12">
        <v>588985</v>
      </c>
      <c r="F268" s="10">
        <v>715</v>
      </c>
      <c r="G268" s="12">
        <v>1563680</v>
      </c>
      <c r="H268" s="13">
        <v>17</v>
      </c>
      <c r="I268" s="10">
        <v>24</v>
      </c>
      <c r="J268" s="10" t="s">
        <v>10</v>
      </c>
      <c r="K268" s="14">
        <v>0.1</v>
      </c>
      <c r="L268" s="10" t="s">
        <v>22</v>
      </c>
      <c r="M268" s="10" t="s">
        <v>3</v>
      </c>
      <c r="N268" s="10">
        <v>0</v>
      </c>
      <c r="O268" s="10" t="str">
        <f t="shared" si="8"/>
        <v>Good</v>
      </c>
      <c r="P268" s="10" t="str">
        <f t="shared" si="9"/>
        <v>Low</v>
      </c>
    </row>
    <row r="269" spans="1:16" x14ac:dyDescent="0.25">
      <c r="A269" s="9" t="s">
        <v>317</v>
      </c>
      <c r="B269" s="15">
        <v>45469</v>
      </c>
      <c r="C269" s="9">
        <v>21</v>
      </c>
      <c r="D269" s="9" t="s">
        <v>16</v>
      </c>
      <c r="E269" s="16">
        <v>2085081</v>
      </c>
      <c r="F269" s="9">
        <v>646</v>
      </c>
      <c r="G269" s="16">
        <v>218566</v>
      </c>
      <c r="H269" s="17">
        <v>10</v>
      </c>
      <c r="I269" s="9">
        <v>36</v>
      </c>
      <c r="J269" s="9" t="s">
        <v>14</v>
      </c>
      <c r="K269" s="18">
        <v>0.6</v>
      </c>
      <c r="L269" s="9" t="s">
        <v>22</v>
      </c>
      <c r="M269" s="9" t="s">
        <v>5</v>
      </c>
      <c r="N269" s="9">
        <v>0</v>
      </c>
      <c r="O269" s="9" t="str">
        <f t="shared" si="8"/>
        <v>Fair</v>
      </c>
      <c r="P269" s="9" t="str">
        <f t="shared" si="9"/>
        <v>High</v>
      </c>
    </row>
    <row r="270" spans="1:16" x14ac:dyDescent="0.25">
      <c r="A270" s="10" t="s">
        <v>318</v>
      </c>
      <c r="B270" s="11">
        <v>45298</v>
      </c>
      <c r="C270" s="10">
        <v>46</v>
      </c>
      <c r="D270" s="10" t="s">
        <v>16</v>
      </c>
      <c r="E270" s="12">
        <v>1703619</v>
      </c>
      <c r="F270" s="10">
        <v>413</v>
      </c>
      <c r="G270" s="12">
        <v>682632</v>
      </c>
      <c r="H270" s="13">
        <v>18</v>
      </c>
      <c r="I270" s="10">
        <v>12</v>
      </c>
      <c r="J270" s="10" t="s">
        <v>11</v>
      </c>
      <c r="K270" s="14">
        <v>0.2</v>
      </c>
      <c r="L270" s="10" t="s">
        <v>20</v>
      </c>
      <c r="M270" s="10" t="s">
        <v>2</v>
      </c>
      <c r="N270" s="10">
        <v>0</v>
      </c>
      <c r="O270" s="10" t="str">
        <f t="shared" si="8"/>
        <v>Poor</v>
      </c>
      <c r="P270" s="10" t="str">
        <f t="shared" si="9"/>
        <v>Medium</v>
      </c>
    </row>
    <row r="271" spans="1:16" x14ac:dyDescent="0.25">
      <c r="A271" s="9" t="s">
        <v>319</v>
      </c>
      <c r="B271" s="15">
        <v>45436</v>
      </c>
      <c r="C271" s="9">
        <v>48</v>
      </c>
      <c r="D271" s="9" t="s">
        <v>9</v>
      </c>
      <c r="E271" s="16">
        <v>265790</v>
      </c>
      <c r="F271" s="9">
        <v>643</v>
      </c>
      <c r="G271" s="16">
        <v>1089900</v>
      </c>
      <c r="H271" s="17">
        <v>24</v>
      </c>
      <c r="I271" s="9">
        <v>24</v>
      </c>
      <c r="J271" s="9" t="s">
        <v>14</v>
      </c>
      <c r="K271" s="18">
        <v>0.46</v>
      </c>
      <c r="L271" s="9" t="s">
        <v>18</v>
      </c>
      <c r="M271" s="9" t="s">
        <v>4</v>
      </c>
      <c r="N271" s="9">
        <v>0</v>
      </c>
      <c r="O271" s="9" t="str">
        <f t="shared" si="8"/>
        <v>Fair</v>
      </c>
      <c r="P271" s="9" t="str">
        <f t="shared" si="9"/>
        <v>High</v>
      </c>
    </row>
    <row r="272" spans="1:16" x14ac:dyDescent="0.25">
      <c r="A272" s="10" t="s">
        <v>320</v>
      </c>
      <c r="B272" s="11">
        <v>45154</v>
      </c>
      <c r="C272" s="10">
        <v>27</v>
      </c>
      <c r="D272" s="10" t="s">
        <v>9</v>
      </c>
      <c r="E272" s="12">
        <v>2361593</v>
      </c>
      <c r="F272" s="10">
        <v>653</v>
      </c>
      <c r="G272" s="12">
        <v>124803</v>
      </c>
      <c r="H272" s="13">
        <v>13</v>
      </c>
      <c r="I272" s="10">
        <v>24</v>
      </c>
      <c r="J272" s="10" t="s">
        <v>13</v>
      </c>
      <c r="K272" s="14">
        <v>0.36</v>
      </c>
      <c r="L272" s="10" t="s">
        <v>19</v>
      </c>
      <c r="M272" s="10" t="s">
        <v>4</v>
      </c>
      <c r="N272" s="10">
        <v>0</v>
      </c>
      <c r="O272" s="10" t="str">
        <f t="shared" si="8"/>
        <v>Fair</v>
      </c>
      <c r="P272" s="10" t="str">
        <f t="shared" si="9"/>
        <v>Medium</v>
      </c>
    </row>
    <row r="273" spans="1:16" x14ac:dyDescent="0.25">
      <c r="A273" s="9" t="s">
        <v>321</v>
      </c>
      <c r="B273" s="15">
        <v>45930</v>
      </c>
      <c r="C273" s="9">
        <v>26</v>
      </c>
      <c r="D273" s="9" t="s">
        <v>17</v>
      </c>
      <c r="E273" s="16">
        <v>1425981</v>
      </c>
      <c r="F273" s="9">
        <v>812</v>
      </c>
      <c r="G273" s="16">
        <v>766596</v>
      </c>
      <c r="H273" s="17">
        <v>17</v>
      </c>
      <c r="I273" s="9">
        <v>24</v>
      </c>
      <c r="J273" s="9" t="s">
        <v>11</v>
      </c>
      <c r="K273" s="18">
        <v>0.12</v>
      </c>
      <c r="L273" s="9" t="s">
        <v>22</v>
      </c>
      <c r="M273" s="9" t="s">
        <v>5</v>
      </c>
      <c r="N273" s="9">
        <v>0</v>
      </c>
      <c r="O273" s="9" t="str">
        <f t="shared" si="8"/>
        <v>Excellent</v>
      </c>
      <c r="P273" s="9" t="str">
        <f t="shared" si="9"/>
        <v>Low</v>
      </c>
    </row>
    <row r="274" spans="1:16" x14ac:dyDescent="0.25">
      <c r="A274" s="10" t="s">
        <v>322</v>
      </c>
      <c r="B274" s="11">
        <v>45565</v>
      </c>
      <c r="C274" s="10">
        <v>62</v>
      </c>
      <c r="D274" s="10" t="s">
        <v>17</v>
      </c>
      <c r="E274" s="12">
        <v>285439</v>
      </c>
      <c r="F274" s="10">
        <v>585</v>
      </c>
      <c r="G274" s="12">
        <v>1916896</v>
      </c>
      <c r="H274" s="13">
        <v>14</v>
      </c>
      <c r="I274" s="10">
        <v>12</v>
      </c>
      <c r="J274" s="10" t="s">
        <v>14</v>
      </c>
      <c r="K274" s="14">
        <v>0.18</v>
      </c>
      <c r="L274" s="10" t="s">
        <v>21</v>
      </c>
      <c r="M274" s="10" t="s">
        <v>4</v>
      </c>
      <c r="N274" s="10">
        <v>0</v>
      </c>
      <c r="O274" s="10" t="str">
        <f t="shared" si="8"/>
        <v>Fair</v>
      </c>
      <c r="P274" s="10" t="str">
        <f t="shared" si="9"/>
        <v>Low</v>
      </c>
    </row>
    <row r="275" spans="1:16" x14ac:dyDescent="0.25">
      <c r="A275" s="9" t="s">
        <v>323</v>
      </c>
      <c r="B275" s="15">
        <v>45401</v>
      </c>
      <c r="C275" s="9">
        <v>56</v>
      </c>
      <c r="D275" s="9" t="s">
        <v>16</v>
      </c>
      <c r="E275" s="16">
        <v>1229827</v>
      </c>
      <c r="F275" s="9">
        <v>396</v>
      </c>
      <c r="G275" s="16">
        <v>1224114</v>
      </c>
      <c r="H275" s="17">
        <v>19</v>
      </c>
      <c r="I275" s="9">
        <v>60</v>
      </c>
      <c r="J275" s="9" t="s">
        <v>13</v>
      </c>
      <c r="K275" s="18">
        <v>0.59</v>
      </c>
      <c r="L275" s="9" t="s">
        <v>19</v>
      </c>
      <c r="M275" s="9" t="s">
        <v>4</v>
      </c>
      <c r="N275" s="9">
        <v>1</v>
      </c>
      <c r="O275" s="9" t="str">
        <f t="shared" si="8"/>
        <v>Poor</v>
      </c>
      <c r="P275" s="9" t="str">
        <f t="shared" si="9"/>
        <v>High</v>
      </c>
    </row>
    <row r="276" spans="1:16" x14ac:dyDescent="0.25">
      <c r="A276" s="10" t="s">
        <v>324</v>
      </c>
      <c r="B276" s="11">
        <v>44966</v>
      </c>
      <c r="C276" s="10">
        <v>28</v>
      </c>
      <c r="D276" s="10" t="s">
        <v>9</v>
      </c>
      <c r="E276" s="12">
        <v>1944758</v>
      </c>
      <c r="F276" s="10">
        <v>447</v>
      </c>
      <c r="G276" s="12">
        <v>1937368</v>
      </c>
      <c r="H276" s="13">
        <v>17</v>
      </c>
      <c r="I276" s="10">
        <v>24</v>
      </c>
      <c r="J276" s="10" t="s">
        <v>13</v>
      </c>
      <c r="K276" s="14">
        <v>0.31</v>
      </c>
      <c r="L276" s="10" t="s">
        <v>19</v>
      </c>
      <c r="M276" s="10" t="s">
        <v>2</v>
      </c>
      <c r="N276" s="10">
        <v>1</v>
      </c>
      <c r="O276" s="10" t="str">
        <f t="shared" si="8"/>
        <v>Poor</v>
      </c>
      <c r="P276" s="10" t="str">
        <f t="shared" si="9"/>
        <v>Medium</v>
      </c>
    </row>
    <row r="277" spans="1:16" x14ac:dyDescent="0.25">
      <c r="A277" s="9" t="s">
        <v>325</v>
      </c>
      <c r="B277" s="15">
        <v>45572</v>
      </c>
      <c r="C277" s="9">
        <v>25</v>
      </c>
      <c r="D277" s="9" t="s">
        <v>9</v>
      </c>
      <c r="E277" s="16">
        <v>1763240</v>
      </c>
      <c r="F277" s="9">
        <v>453</v>
      </c>
      <c r="G277" s="16">
        <v>495446</v>
      </c>
      <c r="H277" s="17">
        <v>7</v>
      </c>
      <c r="I277" s="9">
        <v>60</v>
      </c>
      <c r="J277" s="9" t="s">
        <v>14</v>
      </c>
      <c r="K277" s="18">
        <v>0.13</v>
      </c>
      <c r="L277" s="9" t="s">
        <v>18</v>
      </c>
      <c r="M277" s="9" t="s">
        <v>2</v>
      </c>
      <c r="N277" s="9">
        <v>0</v>
      </c>
      <c r="O277" s="9" t="str">
        <f t="shared" si="8"/>
        <v>Poor</v>
      </c>
      <c r="P277" s="9" t="str">
        <f t="shared" si="9"/>
        <v>Low</v>
      </c>
    </row>
    <row r="278" spans="1:16" x14ac:dyDescent="0.25">
      <c r="A278" s="10" t="s">
        <v>326</v>
      </c>
      <c r="B278" s="11">
        <v>45269</v>
      </c>
      <c r="C278" s="10">
        <v>26</v>
      </c>
      <c r="D278" s="10" t="s">
        <v>16</v>
      </c>
      <c r="E278" s="12">
        <v>1999001</v>
      </c>
      <c r="F278" s="10">
        <v>675</v>
      </c>
      <c r="G278" s="12">
        <v>494340</v>
      </c>
      <c r="H278" s="13">
        <v>23</v>
      </c>
      <c r="I278" s="10">
        <v>36</v>
      </c>
      <c r="J278" s="10" t="s">
        <v>9</v>
      </c>
      <c r="K278" s="14">
        <v>0.52</v>
      </c>
      <c r="L278" s="10" t="s">
        <v>18</v>
      </c>
      <c r="M278" s="10" t="s">
        <v>3</v>
      </c>
      <c r="N278" s="10">
        <v>0</v>
      </c>
      <c r="O278" s="10" t="str">
        <f t="shared" si="8"/>
        <v>Good</v>
      </c>
      <c r="P278" s="10" t="str">
        <f t="shared" si="9"/>
        <v>High</v>
      </c>
    </row>
    <row r="279" spans="1:16" x14ac:dyDescent="0.25">
      <c r="A279" s="9" t="s">
        <v>327</v>
      </c>
      <c r="B279" s="15">
        <v>45070</v>
      </c>
      <c r="C279" s="9">
        <v>52</v>
      </c>
      <c r="D279" s="9" t="s">
        <v>16</v>
      </c>
      <c r="E279" s="16">
        <v>297745</v>
      </c>
      <c r="F279" s="9">
        <v>448</v>
      </c>
      <c r="G279" s="16">
        <v>1399856</v>
      </c>
      <c r="H279" s="17">
        <v>19</v>
      </c>
      <c r="I279" s="9">
        <v>60</v>
      </c>
      <c r="J279" s="9" t="s">
        <v>13</v>
      </c>
      <c r="K279" s="18">
        <v>0.13</v>
      </c>
      <c r="L279" s="9" t="s">
        <v>21</v>
      </c>
      <c r="M279" s="9" t="s">
        <v>3</v>
      </c>
      <c r="N279" s="9">
        <v>0</v>
      </c>
      <c r="O279" s="9" t="str">
        <f t="shared" si="8"/>
        <v>Poor</v>
      </c>
      <c r="P279" s="9" t="str">
        <f t="shared" si="9"/>
        <v>Low</v>
      </c>
    </row>
    <row r="280" spans="1:16" x14ac:dyDescent="0.25">
      <c r="A280" s="10" t="s">
        <v>328</v>
      </c>
      <c r="B280" s="11">
        <v>45034</v>
      </c>
      <c r="C280" s="10">
        <v>58</v>
      </c>
      <c r="D280" s="10" t="s">
        <v>17</v>
      </c>
      <c r="E280" s="12">
        <v>815868</v>
      </c>
      <c r="F280" s="10">
        <v>830</v>
      </c>
      <c r="G280" s="12">
        <v>1025151</v>
      </c>
      <c r="H280" s="13">
        <v>15</v>
      </c>
      <c r="I280" s="10">
        <v>36</v>
      </c>
      <c r="J280" s="10" t="s">
        <v>14</v>
      </c>
      <c r="K280" s="14">
        <v>0.15</v>
      </c>
      <c r="L280" s="10" t="s">
        <v>21</v>
      </c>
      <c r="M280" s="10" t="s">
        <v>2</v>
      </c>
      <c r="N280" s="10">
        <v>0</v>
      </c>
      <c r="O280" s="10" t="str">
        <f t="shared" si="8"/>
        <v>Excellent</v>
      </c>
      <c r="P280" s="10" t="str">
        <f t="shared" si="9"/>
        <v>Low</v>
      </c>
    </row>
    <row r="281" spans="1:16" x14ac:dyDescent="0.25">
      <c r="A281" s="9" t="s">
        <v>329</v>
      </c>
      <c r="B281" s="15">
        <v>45720</v>
      </c>
      <c r="C281" s="9">
        <v>44</v>
      </c>
      <c r="D281" s="9" t="s">
        <v>9</v>
      </c>
      <c r="E281" s="16">
        <v>2015095</v>
      </c>
      <c r="F281" s="9">
        <v>570</v>
      </c>
      <c r="G281" s="16">
        <v>1979671</v>
      </c>
      <c r="H281" s="17">
        <v>19</v>
      </c>
      <c r="I281" s="9">
        <v>60</v>
      </c>
      <c r="J281" s="9" t="s">
        <v>11</v>
      </c>
      <c r="K281" s="18">
        <v>0.32</v>
      </c>
      <c r="L281" s="9" t="s">
        <v>20</v>
      </c>
      <c r="M281" s="9" t="s">
        <v>5</v>
      </c>
      <c r="N281" s="9">
        <v>0</v>
      </c>
      <c r="O281" s="9" t="str">
        <f t="shared" si="8"/>
        <v>Poor</v>
      </c>
      <c r="P281" s="9" t="str">
        <f t="shared" si="9"/>
        <v>Medium</v>
      </c>
    </row>
    <row r="282" spans="1:16" x14ac:dyDescent="0.25">
      <c r="A282" s="10" t="s">
        <v>330</v>
      </c>
      <c r="B282" s="11">
        <v>45183</v>
      </c>
      <c r="C282" s="10">
        <v>24</v>
      </c>
      <c r="D282" s="10" t="s">
        <v>17</v>
      </c>
      <c r="E282" s="12">
        <v>624148</v>
      </c>
      <c r="F282" s="10">
        <v>413</v>
      </c>
      <c r="G282" s="12">
        <v>991278</v>
      </c>
      <c r="H282" s="13">
        <v>11</v>
      </c>
      <c r="I282" s="10">
        <v>36</v>
      </c>
      <c r="J282" s="10" t="s">
        <v>12</v>
      </c>
      <c r="K282" s="14">
        <v>0.54</v>
      </c>
      <c r="L282" s="10" t="s">
        <v>22</v>
      </c>
      <c r="M282" s="10" t="s">
        <v>4</v>
      </c>
      <c r="N282" s="10">
        <v>1</v>
      </c>
      <c r="O282" s="10" t="str">
        <f t="shared" si="8"/>
        <v>Poor</v>
      </c>
      <c r="P282" s="10" t="str">
        <f t="shared" si="9"/>
        <v>High</v>
      </c>
    </row>
    <row r="283" spans="1:16" x14ac:dyDescent="0.25">
      <c r="A283" s="9" t="s">
        <v>331</v>
      </c>
      <c r="B283" s="15">
        <v>45200</v>
      </c>
      <c r="C283" s="9">
        <v>49</v>
      </c>
      <c r="D283" s="9" t="s">
        <v>16</v>
      </c>
      <c r="E283" s="16">
        <v>1042097</v>
      </c>
      <c r="F283" s="9">
        <v>699</v>
      </c>
      <c r="G283" s="16">
        <v>980950</v>
      </c>
      <c r="H283" s="17">
        <v>7</v>
      </c>
      <c r="I283" s="9">
        <v>60</v>
      </c>
      <c r="J283" s="9" t="s">
        <v>10</v>
      </c>
      <c r="K283" s="18">
        <v>0.28000000000000003</v>
      </c>
      <c r="L283" s="9" t="s">
        <v>20</v>
      </c>
      <c r="M283" s="9" t="s">
        <v>2</v>
      </c>
      <c r="N283" s="9">
        <v>0</v>
      </c>
      <c r="O283" s="9" t="str">
        <f t="shared" si="8"/>
        <v>Good</v>
      </c>
      <c r="P283" s="9" t="str">
        <f t="shared" si="9"/>
        <v>Medium</v>
      </c>
    </row>
    <row r="284" spans="1:16" x14ac:dyDescent="0.25">
      <c r="A284" s="10" t="s">
        <v>332</v>
      </c>
      <c r="B284" s="11">
        <v>45773</v>
      </c>
      <c r="C284" s="10">
        <v>55</v>
      </c>
      <c r="D284" s="10" t="s">
        <v>17</v>
      </c>
      <c r="E284" s="12">
        <v>1663498</v>
      </c>
      <c r="F284" s="10">
        <v>845</v>
      </c>
      <c r="G284" s="12">
        <v>1654158</v>
      </c>
      <c r="H284" s="13">
        <v>9</v>
      </c>
      <c r="I284" s="10">
        <v>12</v>
      </c>
      <c r="J284" s="10" t="s">
        <v>10</v>
      </c>
      <c r="K284" s="14">
        <v>0.19</v>
      </c>
      <c r="L284" s="10" t="s">
        <v>20</v>
      </c>
      <c r="M284" s="10" t="s">
        <v>4</v>
      </c>
      <c r="N284" s="10">
        <v>0</v>
      </c>
      <c r="O284" s="10" t="str">
        <f t="shared" si="8"/>
        <v>Excellent</v>
      </c>
      <c r="P284" s="10" t="str">
        <f t="shared" si="9"/>
        <v>Low</v>
      </c>
    </row>
    <row r="285" spans="1:16" x14ac:dyDescent="0.25">
      <c r="A285" s="9" t="s">
        <v>333</v>
      </c>
      <c r="B285" s="15">
        <v>45937</v>
      </c>
      <c r="C285" s="9">
        <v>25</v>
      </c>
      <c r="D285" s="9" t="s">
        <v>9</v>
      </c>
      <c r="E285" s="16">
        <v>409920</v>
      </c>
      <c r="F285" s="9">
        <v>777</v>
      </c>
      <c r="G285" s="16">
        <v>1296299</v>
      </c>
      <c r="H285" s="17">
        <v>22</v>
      </c>
      <c r="I285" s="9">
        <v>60</v>
      </c>
      <c r="J285" s="9" t="s">
        <v>11</v>
      </c>
      <c r="K285" s="18">
        <v>0.56999999999999995</v>
      </c>
      <c r="L285" s="9" t="s">
        <v>19</v>
      </c>
      <c r="M285" s="9" t="s">
        <v>4</v>
      </c>
      <c r="N285" s="9">
        <v>1</v>
      </c>
      <c r="O285" s="9" t="str">
        <f t="shared" si="8"/>
        <v>Excellent</v>
      </c>
      <c r="P285" s="9" t="str">
        <f t="shared" si="9"/>
        <v>High</v>
      </c>
    </row>
    <row r="286" spans="1:16" x14ac:dyDescent="0.25">
      <c r="A286" s="10" t="s">
        <v>334</v>
      </c>
      <c r="B286" s="11">
        <v>45450</v>
      </c>
      <c r="C286" s="10">
        <v>64</v>
      </c>
      <c r="D286" s="10" t="s">
        <v>16</v>
      </c>
      <c r="E286" s="12">
        <v>1410027</v>
      </c>
      <c r="F286" s="10">
        <v>452</v>
      </c>
      <c r="G286" s="12">
        <v>63242</v>
      </c>
      <c r="H286" s="13">
        <v>7</v>
      </c>
      <c r="I286" s="10">
        <v>24</v>
      </c>
      <c r="J286" s="10" t="s">
        <v>12</v>
      </c>
      <c r="K286" s="14">
        <v>0.4</v>
      </c>
      <c r="L286" s="10" t="s">
        <v>21</v>
      </c>
      <c r="M286" s="10" t="s">
        <v>3</v>
      </c>
      <c r="N286" s="10">
        <v>0</v>
      </c>
      <c r="O286" s="10" t="str">
        <f t="shared" si="8"/>
        <v>Poor</v>
      </c>
      <c r="P286" s="10" t="str">
        <f t="shared" si="9"/>
        <v>High</v>
      </c>
    </row>
    <row r="287" spans="1:16" x14ac:dyDescent="0.25">
      <c r="A287" s="9" t="s">
        <v>335</v>
      </c>
      <c r="B287" s="15">
        <v>45152</v>
      </c>
      <c r="C287" s="9">
        <v>55</v>
      </c>
      <c r="D287" s="9" t="s">
        <v>16</v>
      </c>
      <c r="E287" s="16">
        <v>868473</v>
      </c>
      <c r="F287" s="9">
        <v>599</v>
      </c>
      <c r="G287" s="16">
        <v>1998404</v>
      </c>
      <c r="H287" s="17">
        <v>16</v>
      </c>
      <c r="I287" s="9">
        <v>60</v>
      </c>
      <c r="J287" s="9" t="s">
        <v>10</v>
      </c>
      <c r="K287" s="18">
        <v>0.42</v>
      </c>
      <c r="L287" s="9" t="s">
        <v>18</v>
      </c>
      <c r="M287" s="9" t="s">
        <v>2</v>
      </c>
      <c r="N287" s="9">
        <v>0</v>
      </c>
      <c r="O287" s="9" t="str">
        <f t="shared" si="8"/>
        <v>Fair</v>
      </c>
      <c r="P287" s="9" t="str">
        <f t="shared" si="9"/>
        <v>High</v>
      </c>
    </row>
    <row r="288" spans="1:16" x14ac:dyDescent="0.25">
      <c r="A288" s="10" t="s">
        <v>336</v>
      </c>
      <c r="B288" s="11">
        <v>45433</v>
      </c>
      <c r="C288" s="10">
        <v>55</v>
      </c>
      <c r="D288" s="10" t="s">
        <v>17</v>
      </c>
      <c r="E288" s="12">
        <v>1544068</v>
      </c>
      <c r="F288" s="10">
        <v>360</v>
      </c>
      <c r="G288" s="12">
        <v>403357</v>
      </c>
      <c r="H288" s="13">
        <v>15</v>
      </c>
      <c r="I288" s="10">
        <v>12</v>
      </c>
      <c r="J288" s="10" t="s">
        <v>12</v>
      </c>
      <c r="K288" s="14">
        <v>0.56000000000000005</v>
      </c>
      <c r="L288" s="10" t="s">
        <v>20</v>
      </c>
      <c r="M288" s="10" t="s">
        <v>3</v>
      </c>
      <c r="N288" s="10">
        <v>1</v>
      </c>
      <c r="O288" s="10" t="str">
        <f t="shared" si="8"/>
        <v>Poor</v>
      </c>
      <c r="P288" s="10" t="str">
        <f t="shared" si="9"/>
        <v>High</v>
      </c>
    </row>
    <row r="289" spans="1:16" x14ac:dyDescent="0.25">
      <c r="A289" s="9" t="s">
        <v>337</v>
      </c>
      <c r="B289" s="15">
        <v>45121</v>
      </c>
      <c r="C289" s="9">
        <v>22</v>
      </c>
      <c r="D289" s="9" t="s">
        <v>17</v>
      </c>
      <c r="E289" s="16">
        <v>2275665</v>
      </c>
      <c r="F289" s="9">
        <v>447</v>
      </c>
      <c r="G289" s="16">
        <v>330633</v>
      </c>
      <c r="H289" s="17">
        <v>12</v>
      </c>
      <c r="I289" s="9">
        <v>24</v>
      </c>
      <c r="J289" s="9" t="s">
        <v>12</v>
      </c>
      <c r="K289" s="18">
        <v>0.57999999999999996</v>
      </c>
      <c r="L289" s="9" t="s">
        <v>18</v>
      </c>
      <c r="M289" s="9" t="s">
        <v>4</v>
      </c>
      <c r="N289" s="9">
        <v>0</v>
      </c>
      <c r="O289" s="9" t="str">
        <f t="shared" si="8"/>
        <v>Poor</v>
      </c>
      <c r="P289" s="9" t="str">
        <f t="shared" si="9"/>
        <v>High</v>
      </c>
    </row>
    <row r="290" spans="1:16" x14ac:dyDescent="0.25">
      <c r="A290" s="10" t="s">
        <v>338</v>
      </c>
      <c r="B290" s="11">
        <v>46008</v>
      </c>
      <c r="C290" s="10">
        <v>40</v>
      </c>
      <c r="D290" s="10" t="s">
        <v>9</v>
      </c>
      <c r="E290" s="12">
        <v>1724108</v>
      </c>
      <c r="F290" s="10">
        <v>487</v>
      </c>
      <c r="G290" s="12">
        <v>1962143</v>
      </c>
      <c r="H290" s="13">
        <v>7</v>
      </c>
      <c r="I290" s="10">
        <v>60</v>
      </c>
      <c r="J290" s="10" t="s">
        <v>9</v>
      </c>
      <c r="K290" s="14">
        <v>0.6</v>
      </c>
      <c r="L290" s="10" t="s">
        <v>21</v>
      </c>
      <c r="M290" s="10" t="s">
        <v>3</v>
      </c>
      <c r="N290" s="10">
        <v>1</v>
      </c>
      <c r="O290" s="10" t="str">
        <f t="shared" si="8"/>
        <v>Poor</v>
      </c>
      <c r="P290" s="10" t="str">
        <f t="shared" si="9"/>
        <v>High</v>
      </c>
    </row>
    <row r="291" spans="1:16" x14ac:dyDescent="0.25">
      <c r="A291" s="9" t="s">
        <v>339</v>
      </c>
      <c r="B291" s="15">
        <v>45386</v>
      </c>
      <c r="C291" s="9">
        <v>21</v>
      </c>
      <c r="D291" s="9" t="s">
        <v>16</v>
      </c>
      <c r="E291" s="16">
        <v>1067539</v>
      </c>
      <c r="F291" s="9">
        <v>559</v>
      </c>
      <c r="G291" s="16">
        <v>190681</v>
      </c>
      <c r="H291" s="17">
        <v>20</v>
      </c>
      <c r="I291" s="9">
        <v>24</v>
      </c>
      <c r="J291" s="9" t="s">
        <v>11</v>
      </c>
      <c r="K291" s="18">
        <v>0.39</v>
      </c>
      <c r="L291" s="9" t="s">
        <v>21</v>
      </c>
      <c r="M291" s="9" t="s">
        <v>2</v>
      </c>
      <c r="N291" s="9">
        <v>0</v>
      </c>
      <c r="O291" s="9" t="str">
        <f t="shared" si="8"/>
        <v>Poor</v>
      </c>
      <c r="P291" s="9" t="str">
        <f t="shared" si="9"/>
        <v>Medium</v>
      </c>
    </row>
    <row r="292" spans="1:16" x14ac:dyDescent="0.25">
      <c r="A292" s="10" t="s">
        <v>340</v>
      </c>
      <c r="B292" s="11">
        <v>45472</v>
      </c>
      <c r="C292" s="10">
        <v>64</v>
      </c>
      <c r="D292" s="10" t="s">
        <v>9</v>
      </c>
      <c r="E292" s="12">
        <v>2339200</v>
      </c>
      <c r="F292" s="10">
        <v>617</v>
      </c>
      <c r="G292" s="12">
        <v>1001952</v>
      </c>
      <c r="H292" s="13">
        <v>15</v>
      </c>
      <c r="I292" s="10">
        <v>12</v>
      </c>
      <c r="J292" s="10" t="s">
        <v>11</v>
      </c>
      <c r="K292" s="14">
        <v>0.6</v>
      </c>
      <c r="L292" s="10" t="s">
        <v>20</v>
      </c>
      <c r="M292" s="10" t="s">
        <v>4</v>
      </c>
      <c r="N292" s="10">
        <v>1</v>
      </c>
      <c r="O292" s="10" t="str">
        <f t="shared" si="8"/>
        <v>Fair</v>
      </c>
      <c r="P292" s="10" t="str">
        <f t="shared" si="9"/>
        <v>High</v>
      </c>
    </row>
    <row r="293" spans="1:16" x14ac:dyDescent="0.25">
      <c r="A293" s="9" t="s">
        <v>341</v>
      </c>
      <c r="B293" s="15">
        <v>45250</v>
      </c>
      <c r="C293" s="9">
        <v>27</v>
      </c>
      <c r="D293" s="9" t="s">
        <v>17</v>
      </c>
      <c r="E293" s="16">
        <v>557702</v>
      </c>
      <c r="F293" s="9">
        <v>722</v>
      </c>
      <c r="G293" s="16">
        <v>267138</v>
      </c>
      <c r="H293" s="17">
        <v>24</v>
      </c>
      <c r="I293" s="9">
        <v>60</v>
      </c>
      <c r="J293" s="9" t="s">
        <v>14</v>
      </c>
      <c r="K293" s="18">
        <v>0.4</v>
      </c>
      <c r="L293" s="9" t="s">
        <v>19</v>
      </c>
      <c r="M293" s="9" t="s">
        <v>3</v>
      </c>
      <c r="N293" s="9">
        <v>0</v>
      </c>
      <c r="O293" s="9" t="str">
        <f t="shared" si="8"/>
        <v>Good</v>
      </c>
      <c r="P293" s="9" t="str">
        <f t="shared" si="9"/>
        <v>High</v>
      </c>
    </row>
    <row r="294" spans="1:16" x14ac:dyDescent="0.25">
      <c r="A294" s="10" t="s">
        <v>342</v>
      </c>
      <c r="B294" s="11">
        <v>45505</v>
      </c>
      <c r="C294" s="10">
        <v>26</v>
      </c>
      <c r="D294" s="10" t="s">
        <v>17</v>
      </c>
      <c r="E294" s="12">
        <v>1806622</v>
      </c>
      <c r="F294" s="10">
        <v>564</v>
      </c>
      <c r="G294" s="12">
        <v>1198524</v>
      </c>
      <c r="H294" s="13">
        <v>24</v>
      </c>
      <c r="I294" s="10">
        <v>12</v>
      </c>
      <c r="J294" s="10" t="s">
        <v>9</v>
      </c>
      <c r="K294" s="14">
        <v>0.25</v>
      </c>
      <c r="L294" s="10" t="s">
        <v>22</v>
      </c>
      <c r="M294" s="10" t="s">
        <v>5</v>
      </c>
      <c r="N294" s="10">
        <v>0</v>
      </c>
      <c r="O294" s="10" t="str">
        <f t="shared" si="8"/>
        <v>Poor</v>
      </c>
      <c r="P294" s="10" t="str">
        <f t="shared" si="9"/>
        <v>Medium</v>
      </c>
    </row>
    <row r="295" spans="1:16" x14ac:dyDescent="0.25">
      <c r="A295" s="9" t="s">
        <v>343</v>
      </c>
      <c r="B295" s="15">
        <v>45439</v>
      </c>
      <c r="C295" s="9">
        <v>47</v>
      </c>
      <c r="D295" s="9" t="s">
        <v>16</v>
      </c>
      <c r="E295" s="16">
        <v>1000265</v>
      </c>
      <c r="F295" s="9">
        <v>797</v>
      </c>
      <c r="G295" s="16">
        <v>418544</v>
      </c>
      <c r="H295" s="17">
        <v>12</v>
      </c>
      <c r="I295" s="9">
        <v>60</v>
      </c>
      <c r="J295" s="9" t="s">
        <v>12</v>
      </c>
      <c r="K295" s="18">
        <v>0.13</v>
      </c>
      <c r="L295" s="9" t="s">
        <v>22</v>
      </c>
      <c r="M295" s="9" t="s">
        <v>2</v>
      </c>
      <c r="N295" s="9">
        <v>0</v>
      </c>
      <c r="O295" s="9" t="str">
        <f t="shared" si="8"/>
        <v>Excellent</v>
      </c>
      <c r="P295" s="9" t="str">
        <f t="shared" si="9"/>
        <v>Low</v>
      </c>
    </row>
    <row r="296" spans="1:16" x14ac:dyDescent="0.25">
      <c r="A296" s="10" t="s">
        <v>344</v>
      </c>
      <c r="B296" s="11">
        <v>45264</v>
      </c>
      <c r="C296" s="10">
        <v>62</v>
      </c>
      <c r="D296" s="10" t="s">
        <v>17</v>
      </c>
      <c r="E296" s="12">
        <v>1145289</v>
      </c>
      <c r="F296" s="10">
        <v>831</v>
      </c>
      <c r="G296" s="12">
        <v>841234</v>
      </c>
      <c r="H296" s="13">
        <v>20</v>
      </c>
      <c r="I296" s="10">
        <v>36</v>
      </c>
      <c r="J296" s="10" t="s">
        <v>12</v>
      </c>
      <c r="K296" s="14">
        <v>0.6</v>
      </c>
      <c r="L296" s="10" t="s">
        <v>20</v>
      </c>
      <c r="M296" s="10" t="s">
        <v>2</v>
      </c>
      <c r="N296" s="10">
        <v>0</v>
      </c>
      <c r="O296" s="10" t="str">
        <f t="shared" si="8"/>
        <v>Excellent</v>
      </c>
      <c r="P296" s="10" t="str">
        <f t="shared" si="9"/>
        <v>High</v>
      </c>
    </row>
    <row r="297" spans="1:16" x14ac:dyDescent="0.25">
      <c r="A297" s="9" t="s">
        <v>345</v>
      </c>
      <c r="B297" s="15">
        <v>45545</v>
      </c>
      <c r="C297" s="9">
        <v>27</v>
      </c>
      <c r="D297" s="9" t="s">
        <v>9</v>
      </c>
      <c r="E297" s="16">
        <v>2110426</v>
      </c>
      <c r="F297" s="9">
        <v>626</v>
      </c>
      <c r="G297" s="16">
        <v>147185</v>
      </c>
      <c r="H297" s="17">
        <v>23</v>
      </c>
      <c r="I297" s="9">
        <v>24</v>
      </c>
      <c r="J297" s="9" t="s">
        <v>10</v>
      </c>
      <c r="K297" s="18">
        <v>0.36</v>
      </c>
      <c r="L297" s="9" t="s">
        <v>18</v>
      </c>
      <c r="M297" s="9" t="s">
        <v>3</v>
      </c>
      <c r="N297" s="9">
        <v>1</v>
      </c>
      <c r="O297" s="9" t="str">
        <f t="shared" si="8"/>
        <v>Fair</v>
      </c>
      <c r="P297" s="9" t="str">
        <f t="shared" si="9"/>
        <v>Medium</v>
      </c>
    </row>
    <row r="298" spans="1:16" x14ac:dyDescent="0.25">
      <c r="A298" s="10" t="s">
        <v>346</v>
      </c>
      <c r="B298" s="11">
        <v>45480</v>
      </c>
      <c r="C298" s="10">
        <v>45</v>
      </c>
      <c r="D298" s="10" t="s">
        <v>17</v>
      </c>
      <c r="E298" s="12">
        <v>1614520</v>
      </c>
      <c r="F298" s="10">
        <v>530</v>
      </c>
      <c r="G298" s="12">
        <v>1112588</v>
      </c>
      <c r="H298" s="13">
        <v>23</v>
      </c>
      <c r="I298" s="10">
        <v>24</v>
      </c>
      <c r="J298" s="10" t="s">
        <v>14</v>
      </c>
      <c r="K298" s="14">
        <v>0.5</v>
      </c>
      <c r="L298" s="10" t="s">
        <v>18</v>
      </c>
      <c r="M298" s="10" t="s">
        <v>3</v>
      </c>
      <c r="N298" s="10">
        <v>0</v>
      </c>
      <c r="O298" s="10" t="str">
        <f t="shared" si="8"/>
        <v>Poor</v>
      </c>
      <c r="P298" s="10" t="str">
        <f t="shared" si="9"/>
        <v>High</v>
      </c>
    </row>
    <row r="299" spans="1:16" x14ac:dyDescent="0.25">
      <c r="A299" s="9" t="s">
        <v>347</v>
      </c>
      <c r="B299" s="15">
        <v>45523</v>
      </c>
      <c r="C299" s="9">
        <v>63</v>
      </c>
      <c r="D299" s="9" t="s">
        <v>17</v>
      </c>
      <c r="E299" s="16">
        <v>373832</v>
      </c>
      <c r="F299" s="9">
        <v>332</v>
      </c>
      <c r="G299" s="16">
        <v>1956499</v>
      </c>
      <c r="H299" s="17">
        <v>19</v>
      </c>
      <c r="I299" s="9">
        <v>36</v>
      </c>
      <c r="J299" s="9" t="s">
        <v>12</v>
      </c>
      <c r="K299" s="18">
        <v>0.6</v>
      </c>
      <c r="L299" s="9" t="s">
        <v>20</v>
      </c>
      <c r="M299" s="9" t="s">
        <v>4</v>
      </c>
      <c r="N299" s="9">
        <v>0</v>
      </c>
      <c r="O299" s="9" t="str">
        <f t="shared" si="8"/>
        <v>Poor</v>
      </c>
      <c r="P299" s="9" t="str">
        <f t="shared" si="9"/>
        <v>High</v>
      </c>
    </row>
    <row r="300" spans="1:16" x14ac:dyDescent="0.25">
      <c r="A300" s="10" t="s">
        <v>348</v>
      </c>
      <c r="B300" s="11">
        <v>45772</v>
      </c>
      <c r="C300" s="10">
        <v>27</v>
      </c>
      <c r="D300" s="10" t="s">
        <v>17</v>
      </c>
      <c r="E300" s="12">
        <v>825515</v>
      </c>
      <c r="F300" s="10">
        <v>313</v>
      </c>
      <c r="G300" s="12">
        <v>1948288</v>
      </c>
      <c r="H300" s="13">
        <v>12</v>
      </c>
      <c r="I300" s="10">
        <v>24</v>
      </c>
      <c r="J300" s="10" t="s">
        <v>12</v>
      </c>
      <c r="K300" s="14">
        <v>0.13</v>
      </c>
      <c r="L300" s="10" t="s">
        <v>18</v>
      </c>
      <c r="M300" s="10" t="s">
        <v>5</v>
      </c>
      <c r="N300" s="10">
        <v>1</v>
      </c>
      <c r="O300" s="10" t="str">
        <f t="shared" si="8"/>
        <v>Poor</v>
      </c>
      <c r="P300" s="10" t="str">
        <f t="shared" si="9"/>
        <v>Low</v>
      </c>
    </row>
    <row r="301" spans="1:16" x14ac:dyDescent="0.25">
      <c r="A301" s="9" t="s">
        <v>349</v>
      </c>
      <c r="B301" s="15">
        <v>45418</v>
      </c>
      <c r="C301" s="9">
        <v>27</v>
      </c>
      <c r="D301" s="9" t="s">
        <v>16</v>
      </c>
      <c r="E301" s="16">
        <v>2187459</v>
      </c>
      <c r="F301" s="9">
        <v>312</v>
      </c>
      <c r="G301" s="16">
        <v>1787953</v>
      </c>
      <c r="H301" s="17">
        <v>13</v>
      </c>
      <c r="I301" s="9">
        <v>12</v>
      </c>
      <c r="J301" s="9" t="s">
        <v>9</v>
      </c>
      <c r="K301" s="18">
        <v>0.54</v>
      </c>
      <c r="L301" s="9" t="s">
        <v>19</v>
      </c>
      <c r="M301" s="9" t="s">
        <v>4</v>
      </c>
      <c r="N301" s="9">
        <v>1</v>
      </c>
      <c r="O301" s="9" t="str">
        <f t="shared" si="8"/>
        <v>Poor</v>
      </c>
      <c r="P301" s="9" t="str">
        <f t="shared" si="9"/>
        <v>High</v>
      </c>
    </row>
    <row r="302" spans="1:16" x14ac:dyDescent="0.25">
      <c r="A302" s="10" t="s">
        <v>350</v>
      </c>
      <c r="B302" s="11">
        <v>45320</v>
      </c>
      <c r="C302" s="10">
        <v>44</v>
      </c>
      <c r="D302" s="10" t="s">
        <v>16</v>
      </c>
      <c r="E302" s="12">
        <v>695876</v>
      </c>
      <c r="F302" s="10">
        <v>599</v>
      </c>
      <c r="G302" s="12">
        <v>1413713</v>
      </c>
      <c r="H302" s="13">
        <v>10</v>
      </c>
      <c r="I302" s="10">
        <v>36</v>
      </c>
      <c r="J302" s="10" t="s">
        <v>13</v>
      </c>
      <c r="K302" s="14">
        <v>0.12</v>
      </c>
      <c r="L302" s="10" t="s">
        <v>20</v>
      </c>
      <c r="M302" s="10" t="s">
        <v>4</v>
      </c>
      <c r="N302" s="10">
        <v>0</v>
      </c>
      <c r="O302" s="10" t="str">
        <f t="shared" si="8"/>
        <v>Fair</v>
      </c>
      <c r="P302" s="10" t="str">
        <f t="shared" si="9"/>
        <v>Low</v>
      </c>
    </row>
    <row r="303" spans="1:16" x14ac:dyDescent="0.25">
      <c r="A303" s="9" t="s">
        <v>351</v>
      </c>
      <c r="B303" s="15">
        <v>45626</v>
      </c>
      <c r="C303" s="9">
        <v>50</v>
      </c>
      <c r="D303" s="9" t="s">
        <v>16</v>
      </c>
      <c r="E303" s="16">
        <v>1894789</v>
      </c>
      <c r="F303" s="9">
        <v>379</v>
      </c>
      <c r="G303" s="16">
        <v>1072989</v>
      </c>
      <c r="H303" s="17">
        <v>9</v>
      </c>
      <c r="I303" s="9">
        <v>36</v>
      </c>
      <c r="J303" s="9" t="s">
        <v>11</v>
      </c>
      <c r="K303" s="18">
        <v>0.22</v>
      </c>
      <c r="L303" s="9" t="s">
        <v>21</v>
      </c>
      <c r="M303" s="9" t="s">
        <v>2</v>
      </c>
      <c r="N303" s="9">
        <v>0</v>
      </c>
      <c r="O303" s="9" t="str">
        <f t="shared" si="8"/>
        <v>Poor</v>
      </c>
      <c r="P303" s="9" t="str">
        <f t="shared" si="9"/>
        <v>Medium</v>
      </c>
    </row>
    <row r="304" spans="1:16" x14ac:dyDescent="0.25">
      <c r="A304" s="10" t="s">
        <v>352</v>
      </c>
      <c r="B304" s="11">
        <v>44931</v>
      </c>
      <c r="C304" s="10">
        <v>23</v>
      </c>
      <c r="D304" s="10" t="s">
        <v>17</v>
      </c>
      <c r="E304" s="12">
        <v>377134</v>
      </c>
      <c r="F304" s="10">
        <v>830</v>
      </c>
      <c r="G304" s="12">
        <v>427740</v>
      </c>
      <c r="H304" s="13">
        <v>15</v>
      </c>
      <c r="I304" s="10">
        <v>60</v>
      </c>
      <c r="J304" s="10" t="s">
        <v>10</v>
      </c>
      <c r="K304" s="14">
        <v>0.21</v>
      </c>
      <c r="L304" s="10" t="s">
        <v>18</v>
      </c>
      <c r="M304" s="10" t="s">
        <v>2</v>
      </c>
      <c r="N304" s="10">
        <v>0</v>
      </c>
      <c r="O304" s="10" t="str">
        <f t="shared" si="8"/>
        <v>Excellent</v>
      </c>
      <c r="P304" s="10" t="str">
        <f t="shared" si="9"/>
        <v>Medium</v>
      </c>
    </row>
    <row r="305" spans="1:16" x14ac:dyDescent="0.25">
      <c r="A305" s="9" t="s">
        <v>353</v>
      </c>
      <c r="B305" s="15">
        <v>45820</v>
      </c>
      <c r="C305" s="9">
        <v>41</v>
      </c>
      <c r="D305" s="9" t="s">
        <v>17</v>
      </c>
      <c r="E305" s="16">
        <v>1305249</v>
      </c>
      <c r="F305" s="9">
        <v>622</v>
      </c>
      <c r="G305" s="16">
        <v>1752955</v>
      </c>
      <c r="H305" s="17">
        <v>6</v>
      </c>
      <c r="I305" s="9">
        <v>60</v>
      </c>
      <c r="J305" s="9" t="s">
        <v>13</v>
      </c>
      <c r="K305" s="18">
        <v>0.49</v>
      </c>
      <c r="L305" s="9" t="s">
        <v>18</v>
      </c>
      <c r="M305" s="9" t="s">
        <v>2</v>
      </c>
      <c r="N305" s="9">
        <v>1</v>
      </c>
      <c r="O305" s="9" t="str">
        <f t="shared" si="8"/>
        <v>Fair</v>
      </c>
      <c r="P305" s="9" t="str">
        <f t="shared" si="9"/>
        <v>High</v>
      </c>
    </row>
    <row r="306" spans="1:16" x14ac:dyDescent="0.25">
      <c r="A306" s="10" t="s">
        <v>354</v>
      </c>
      <c r="B306" s="11">
        <v>45656</v>
      </c>
      <c r="C306" s="10">
        <v>31</v>
      </c>
      <c r="D306" s="10" t="s">
        <v>17</v>
      </c>
      <c r="E306" s="12">
        <v>1213826</v>
      </c>
      <c r="F306" s="10">
        <v>401</v>
      </c>
      <c r="G306" s="12">
        <v>1240645</v>
      </c>
      <c r="H306" s="13">
        <v>8</v>
      </c>
      <c r="I306" s="10">
        <v>24</v>
      </c>
      <c r="J306" s="10" t="s">
        <v>12</v>
      </c>
      <c r="K306" s="14">
        <v>0.13</v>
      </c>
      <c r="L306" s="10" t="s">
        <v>20</v>
      </c>
      <c r="M306" s="10" t="s">
        <v>4</v>
      </c>
      <c r="N306" s="10">
        <v>0</v>
      </c>
      <c r="O306" s="10" t="str">
        <f t="shared" si="8"/>
        <v>Poor</v>
      </c>
      <c r="P306" s="10" t="str">
        <f t="shared" si="9"/>
        <v>Low</v>
      </c>
    </row>
    <row r="307" spans="1:16" x14ac:dyDescent="0.25">
      <c r="A307" s="9" t="s">
        <v>355</v>
      </c>
      <c r="B307" s="15">
        <v>45325</v>
      </c>
      <c r="C307" s="9">
        <v>58</v>
      </c>
      <c r="D307" s="9" t="s">
        <v>16</v>
      </c>
      <c r="E307" s="16">
        <v>1008759</v>
      </c>
      <c r="F307" s="9">
        <v>715</v>
      </c>
      <c r="G307" s="16">
        <v>154795</v>
      </c>
      <c r="H307" s="17">
        <v>12</v>
      </c>
      <c r="I307" s="9">
        <v>24</v>
      </c>
      <c r="J307" s="9" t="s">
        <v>12</v>
      </c>
      <c r="K307" s="18">
        <v>0.59</v>
      </c>
      <c r="L307" s="9" t="s">
        <v>19</v>
      </c>
      <c r="M307" s="9" t="s">
        <v>3</v>
      </c>
      <c r="N307" s="9">
        <v>0</v>
      </c>
      <c r="O307" s="9" t="str">
        <f t="shared" si="8"/>
        <v>Good</v>
      </c>
      <c r="P307" s="9" t="str">
        <f t="shared" si="9"/>
        <v>High</v>
      </c>
    </row>
    <row r="308" spans="1:16" x14ac:dyDescent="0.25">
      <c r="A308" s="10" t="s">
        <v>356</v>
      </c>
      <c r="B308" s="11">
        <v>45602</v>
      </c>
      <c r="C308" s="10">
        <v>57</v>
      </c>
      <c r="D308" s="10" t="s">
        <v>9</v>
      </c>
      <c r="E308" s="12">
        <v>320066</v>
      </c>
      <c r="F308" s="10">
        <v>644</v>
      </c>
      <c r="G308" s="12">
        <v>176620</v>
      </c>
      <c r="H308" s="13">
        <v>13</v>
      </c>
      <c r="I308" s="10">
        <v>60</v>
      </c>
      <c r="J308" s="10" t="s">
        <v>14</v>
      </c>
      <c r="K308" s="14">
        <v>0.34</v>
      </c>
      <c r="L308" s="10" t="s">
        <v>19</v>
      </c>
      <c r="M308" s="10" t="s">
        <v>5</v>
      </c>
      <c r="N308" s="10">
        <v>0</v>
      </c>
      <c r="O308" s="10" t="str">
        <f t="shared" si="8"/>
        <v>Fair</v>
      </c>
      <c r="P308" s="10" t="str">
        <f t="shared" si="9"/>
        <v>Medium</v>
      </c>
    </row>
    <row r="309" spans="1:16" x14ac:dyDescent="0.25">
      <c r="A309" s="9" t="s">
        <v>357</v>
      </c>
      <c r="B309" s="15">
        <v>45708</v>
      </c>
      <c r="C309" s="9">
        <v>36</v>
      </c>
      <c r="D309" s="9" t="s">
        <v>17</v>
      </c>
      <c r="E309" s="16">
        <v>1273338</v>
      </c>
      <c r="F309" s="9">
        <v>839</v>
      </c>
      <c r="G309" s="16">
        <v>1342337</v>
      </c>
      <c r="H309" s="17">
        <v>11</v>
      </c>
      <c r="I309" s="9">
        <v>24</v>
      </c>
      <c r="J309" s="9" t="s">
        <v>14</v>
      </c>
      <c r="K309" s="18">
        <v>0.49</v>
      </c>
      <c r="L309" s="9" t="s">
        <v>20</v>
      </c>
      <c r="M309" s="9" t="s">
        <v>2</v>
      </c>
      <c r="N309" s="9">
        <v>0</v>
      </c>
      <c r="O309" s="9" t="str">
        <f t="shared" si="8"/>
        <v>Excellent</v>
      </c>
      <c r="P309" s="9" t="str">
        <f t="shared" si="9"/>
        <v>High</v>
      </c>
    </row>
    <row r="310" spans="1:16" x14ac:dyDescent="0.25">
      <c r="A310" s="10" t="s">
        <v>358</v>
      </c>
      <c r="B310" s="11">
        <v>45451</v>
      </c>
      <c r="C310" s="10">
        <v>38</v>
      </c>
      <c r="D310" s="10" t="s">
        <v>17</v>
      </c>
      <c r="E310" s="12">
        <v>2357114</v>
      </c>
      <c r="F310" s="10">
        <v>405</v>
      </c>
      <c r="G310" s="12">
        <v>635345</v>
      </c>
      <c r="H310" s="13">
        <v>13</v>
      </c>
      <c r="I310" s="10">
        <v>60</v>
      </c>
      <c r="J310" s="10" t="s">
        <v>10</v>
      </c>
      <c r="K310" s="14">
        <v>0.28999999999999998</v>
      </c>
      <c r="L310" s="10" t="s">
        <v>21</v>
      </c>
      <c r="M310" s="10" t="s">
        <v>5</v>
      </c>
      <c r="N310" s="10">
        <v>0</v>
      </c>
      <c r="O310" s="10" t="str">
        <f t="shared" si="8"/>
        <v>Poor</v>
      </c>
      <c r="P310" s="10" t="str">
        <f t="shared" si="9"/>
        <v>Medium</v>
      </c>
    </row>
    <row r="311" spans="1:16" x14ac:dyDescent="0.25">
      <c r="A311" s="9" t="s">
        <v>359</v>
      </c>
      <c r="B311" s="15">
        <v>44956</v>
      </c>
      <c r="C311" s="9">
        <v>38</v>
      </c>
      <c r="D311" s="9" t="s">
        <v>17</v>
      </c>
      <c r="E311" s="16">
        <v>743093</v>
      </c>
      <c r="F311" s="9">
        <v>540</v>
      </c>
      <c r="G311" s="16">
        <v>1996619</v>
      </c>
      <c r="H311" s="17">
        <v>21</v>
      </c>
      <c r="I311" s="9">
        <v>24</v>
      </c>
      <c r="J311" s="9" t="s">
        <v>9</v>
      </c>
      <c r="K311" s="18">
        <v>0.32</v>
      </c>
      <c r="L311" s="9" t="s">
        <v>19</v>
      </c>
      <c r="M311" s="9" t="s">
        <v>3</v>
      </c>
      <c r="N311" s="9">
        <v>1</v>
      </c>
      <c r="O311" s="9" t="str">
        <f t="shared" si="8"/>
        <v>Poor</v>
      </c>
      <c r="P311" s="9" t="str">
        <f t="shared" si="9"/>
        <v>Medium</v>
      </c>
    </row>
    <row r="312" spans="1:16" x14ac:dyDescent="0.25">
      <c r="A312" s="10" t="s">
        <v>360</v>
      </c>
      <c r="B312" s="11">
        <v>45688</v>
      </c>
      <c r="C312" s="10">
        <v>57</v>
      </c>
      <c r="D312" s="10" t="s">
        <v>17</v>
      </c>
      <c r="E312" s="12">
        <v>834651</v>
      </c>
      <c r="F312" s="10">
        <v>629</v>
      </c>
      <c r="G312" s="12">
        <v>1266928</v>
      </c>
      <c r="H312" s="13">
        <v>10</v>
      </c>
      <c r="I312" s="10">
        <v>12</v>
      </c>
      <c r="J312" s="10" t="s">
        <v>9</v>
      </c>
      <c r="K312" s="14">
        <v>0.47</v>
      </c>
      <c r="L312" s="10" t="s">
        <v>21</v>
      </c>
      <c r="M312" s="10" t="s">
        <v>5</v>
      </c>
      <c r="N312" s="10">
        <v>0</v>
      </c>
      <c r="O312" s="10" t="str">
        <f t="shared" si="8"/>
        <v>Fair</v>
      </c>
      <c r="P312" s="10" t="str">
        <f t="shared" si="9"/>
        <v>High</v>
      </c>
    </row>
    <row r="313" spans="1:16" x14ac:dyDescent="0.25">
      <c r="A313" s="9" t="s">
        <v>361</v>
      </c>
      <c r="B313" s="15">
        <v>45936</v>
      </c>
      <c r="C313" s="9">
        <v>22</v>
      </c>
      <c r="D313" s="9" t="s">
        <v>17</v>
      </c>
      <c r="E313" s="16">
        <v>1491025</v>
      </c>
      <c r="F313" s="9">
        <v>388</v>
      </c>
      <c r="G313" s="16">
        <v>1693877</v>
      </c>
      <c r="H313" s="17">
        <v>21</v>
      </c>
      <c r="I313" s="9">
        <v>36</v>
      </c>
      <c r="J313" s="9" t="s">
        <v>13</v>
      </c>
      <c r="K313" s="18">
        <v>0.51</v>
      </c>
      <c r="L313" s="9" t="s">
        <v>19</v>
      </c>
      <c r="M313" s="9" t="s">
        <v>4</v>
      </c>
      <c r="N313" s="9">
        <v>1</v>
      </c>
      <c r="O313" s="9" t="str">
        <f t="shared" si="8"/>
        <v>Poor</v>
      </c>
      <c r="P313" s="9" t="str">
        <f t="shared" si="9"/>
        <v>High</v>
      </c>
    </row>
    <row r="314" spans="1:16" x14ac:dyDescent="0.25">
      <c r="A314" s="10" t="s">
        <v>362</v>
      </c>
      <c r="B314" s="11">
        <v>45879</v>
      </c>
      <c r="C314" s="10">
        <v>40</v>
      </c>
      <c r="D314" s="10" t="s">
        <v>9</v>
      </c>
      <c r="E314" s="12">
        <v>1893853</v>
      </c>
      <c r="F314" s="10">
        <v>493</v>
      </c>
      <c r="G314" s="12">
        <v>83367</v>
      </c>
      <c r="H314" s="13">
        <v>21</v>
      </c>
      <c r="I314" s="10">
        <v>36</v>
      </c>
      <c r="J314" s="10" t="s">
        <v>11</v>
      </c>
      <c r="K314" s="14">
        <v>0.48</v>
      </c>
      <c r="L314" s="10" t="s">
        <v>20</v>
      </c>
      <c r="M314" s="10" t="s">
        <v>3</v>
      </c>
      <c r="N314" s="10">
        <v>1</v>
      </c>
      <c r="O314" s="10" t="str">
        <f t="shared" si="8"/>
        <v>Poor</v>
      </c>
      <c r="P314" s="10" t="str">
        <f t="shared" si="9"/>
        <v>High</v>
      </c>
    </row>
    <row r="315" spans="1:16" x14ac:dyDescent="0.25">
      <c r="A315" s="9" t="s">
        <v>363</v>
      </c>
      <c r="B315" s="15">
        <v>45981</v>
      </c>
      <c r="C315" s="9">
        <v>51</v>
      </c>
      <c r="D315" s="9" t="s">
        <v>17</v>
      </c>
      <c r="E315" s="16">
        <v>570955</v>
      </c>
      <c r="F315" s="9">
        <v>733</v>
      </c>
      <c r="G315" s="16">
        <v>1722907</v>
      </c>
      <c r="H315" s="17">
        <v>21</v>
      </c>
      <c r="I315" s="9">
        <v>24</v>
      </c>
      <c r="J315" s="9" t="s">
        <v>12</v>
      </c>
      <c r="K315" s="18">
        <v>0.19</v>
      </c>
      <c r="L315" s="9" t="s">
        <v>19</v>
      </c>
      <c r="M315" s="9" t="s">
        <v>2</v>
      </c>
      <c r="N315" s="9">
        <v>1</v>
      </c>
      <c r="O315" s="9" t="str">
        <f t="shared" si="8"/>
        <v>Good</v>
      </c>
      <c r="P315" s="9" t="str">
        <f t="shared" si="9"/>
        <v>Low</v>
      </c>
    </row>
    <row r="316" spans="1:16" x14ac:dyDescent="0.25">
      <c r="A316" s="10" t="s">
        <v>364</v>
      </c>
      <c r="B316" s="11">
        <v>45431</v>
      </c>
      <c r="C316" s="10">
        <v>39</v>
      </c>
      <c r="D316" s="10" t="s">
        <v>17</v>
      </c>
      <c r="E316" s="12">
        <v>1932643</v>
      </c>
      <c r="F316" s="10">
        <v>803</v>
      </c>
      <c r="G316" s="12">
        <v>968771</v>
      </c>
      <c r="H316" s="13">
        <v>10</v>
      </c>
      <c r="I316" s="10">
        <v>24</v>
      </c>
      <c r="J316" s="10" t="s">
        <v>14</v>
      </c>
      <c r="K316" s="14">
        <v>0.35</v>
      </c>
      <c r="L316" s="10" t="s">
        <v>20</v>
      </c>
      <c r="M316" s="10" t="s">
        <v>5</v>
      </c>
      <c r="N316" s="10">
        <v>0</v>
      </c>
      <c r="O316" s="10" t="str">
        <f t="shared" si="8"/>
        <v>Excellent</v>
      </c>
      <c r="P316" s="10" t="str">
        <f t="shared" si="9"/>
        <v>Medium</v>
      </c>
    </row>
    <row r="317" spans="1:16" x14ac:dyDescent="0.25">
      <c r="A317" s="9" t="s">
        <v>365</v>
      </c>
      <c r="B317" s="15">
        <v>45560</v>
      </c>
      <c r="C317" s="9">
        <v>33</v>
      </c>
      <c r="D317" s="9" t="s">
        <v>9</v>
      </c>
      <c r="E317" s="16">
        <v>866558</v>
      </c>
      <c r="F317" s="9">
        <v>783</v>
      </c>
      <c r="G317" s="16">
        <v>1875150</v>
      </c>
      <c r="H317" s="17">
        <v>11</v>
      </c>
      <c r="I317" s="9">
        <v>12</v>
      </c>
      <c r="J317" s="9" t="s">
        <v>14</v>
      </c>
      <c r="K317" s="18">
        <v>0.52</v>
      </c>
      <c r="L317" s="9" t="s">
        <v>22</v>
      </c>
      <c r="M317" s="9" t="s">
        <v>3</v>
      </c>
      <c r="N317" s="9">
        <v>1</v>
      </c>
      <c r="O317" s="9" t="str">
        <f t="shared" si="8"/>
        <v>Excellent</v>
      </c>
      <c r="P317" s="9" t="str">
        <f t="shared" si="9"/>
        <v>High</v>
      </c>
    </row>
    <row r="318" spans="1:16" x14ac:dyDescent="0.25">
      <c r="A318" s="10" t="s">
        <v>366</v>
      </c>
      <c r="B318" s="11">
        <v>44934</v>
      </c>
      <c r="C318" s="10">
        <v>27</v>
      </c>
      <c r="D318" s="10" t="s">
        <v>16</v>
      </c>
      <c r="E318" s="12">
        <v>974722</v>
      </c>
      <c r="F318" s="10">
        <v>712</v>
      </c>
      <c r="G318" s="12">
        <v>539901</v>
      </c>
      <c r="H318" s="13">
        <v>17</v>
      </c>
      <c r="I318" s="10">
        <v>60</v>
      </c>
      <c r="J318" s="10" t="s">
        <v>13</v>
      </c>
      <c r="K318" s="14">
        <v>0.34</v>
      </c>
      <c r="L318" s="10" t="s">
        <v>22</v>
      </c>
      <c r="M318" s="10" t="s">
        <v>3</v>
      </c>
      <c r="N318" s="10">
        <v>0</v>
      </c>
      <c r="O318" s="10" t="str">
        <f t="shared" si="8"/>
        <v>Good</v>
      </c>
      <c r="P318" s="10" t="str">
        <f t="shared" si="9"/>
        <v>Medium</v>
      </c>
    </row>
    <row r="319" spans="1:16" x14ac:dyDescent="0.25">
      <c r="A319" s="9" t="s">
        <v>367</v>
      </c>
      <c r="B319" s="15">
        <v>45645</v>
      </c>
      <c r="C319" s="9">
        <v>36</v>
      </c>
      <c r="D319" s="9" t="s">
        <v>17</v>
      </c>
      <c r="E319" s="16">
        <v>617547</v>
      </c>
      <c r="F319" s="9">
        <v>652</v>
      </c>
      <c r="G319" s="16">
        <v>1038924</v>
      </c>
      <c r="H319" s="17">
        <v>13</v>
      </c>
      <c r="I319" s="9">
        <v>36</v>
      </c>
      <c r="J319" s="9" t="s">
        <v>12</v>
      </c>
      <c r="K319" s="18">
        <v>0.56000000000000005</v>
      </c>
      <c r="L319" s="9" t="s">
        <v>21</v>
      </c>
      <c r="M319" s="9" t="s">
        <v>3</v>
      </c>
      <c r="N319" s="9">
        <v>0</v>
      </c>
      <c r="O319" s="9" t="str">
        <f t="shared" si="8"/>
        <v>Fair</v>
      </c>
      <c r="P319" s="9" t="str">
        <f t="shared" si="9"/>
        <v>High</v>
      </c>
    </row>
    <row r="320" spans="1:16" x14ac:dyDescent="0.25">
      <c r="A320" s="10" t="s">
        <v>368</v>
      </c>
      <c r="B320" s="11">
        <v>44954</v>
      </c>
      <c r="C320" s="10">
        <v>54</v>
      </c>
      <c r="D320" s="10" t="s">
        <v>17</v>
      </c>
      <c r="E320" s="12">
        <v>1495936</v>
      </c>
      <c r="F320" s="10">
        <v>725</v>
      </c>
      <c r="G320" s="12">
        <v>775816</v>
      </c>
      <c r="H320" s="13">
        <v>16</v>
      </c>
      <c r="I320" s="10">
        <v>24</v>
      </c>
      <c r="J320" s="10" t="s">
        <v>9</v>
      </c>
      <c r="K320" s="14">
        <v>0.36</v>
      </c>
      <c r="L320" s="10" t="s">
        <v>19</v>
      </c>
      <c r="M320" s="10" t="s">
        <v>2</v>
      </c>
      <c r="N320" s="10">
        <v>0</v>
      </c>
      <c r="O320" s="10" t="str">
        <f t="shared" si="8"/>
        <v>Good</v>
      </c>
      <c r="P320" s="10" t="str">
        <f t="shared" si="9"/>
        <v>Medium</v>
      </c>
    </row>
    <row r="321" spans="1:16" x14ac:dyDescent="0.25">
      <c r="A321" s="9" t="s">
        <v>369</v>
      </c>
      <c r="B321" s="15">
        <v>45485</v>
      </c>
      <c r="C321" s="9">
        <v>26</v>
      </c>
      <c r="D321" s="9" t="s">
        <v>17</v>
      </c>
      <c r="E321" s="16">
        <v>443526</v>
      </c>
      <c r="F321" s="9">
        <v>841</v>
      </c>
      <c r="G321" s="16">
        <v>874847</v>
      </c>
      <c r="H321" s="17">
        <v>21</v>
      </c>
      <c r="I321" s="9">
        <v>24</v>
      </c>
      <c r="J321" s="9" t="s">
        <v>9</v>
      </c>
      <c r="K321" s="18">
        <v>0.21</v>
      </c>
      <c r="L321" s="9" t="s">
        <v>19</v>
      </c>
      <c r="M321" s="9" t="s">
        <v>4</v>
      </c>
      <c r="N321" s="9">
        <v>1</v>
      </c>
      <c r="O321" s="9" t="str">
        <f t="shared" si="8"/>
        <v>Excellent</v>
      </c>
      <c r="P321" s="9" t="str">
        <f t="shared" si="9"/>
        <v>Medium</v>
      </c>
    </row>
    <row r="322" spans="1:16" x14ac:dyDescent="0.25">
      <c r="A322" s="10" t="s">
        <v>370</v>
      </c>
      <c r="B322" s="11">
        <v>45102</v>
      </c>
      <c r="C322" s="10">
        <v>60</v>
      </c>
      <c r="D322" s="10" t="s">
        <v>9</v>
      </c>
      <c r="E322" s="12">
        <v>1570485</v>
      </c>
      <c r="F322" s="10">
        <v>487</v>
      </c>
      <c r="G322" s="12">
        <v>994081</v>
      </c>
      <c r="H322" s="13">
        <v>11</v>
      </c>
      <c r="I322" s="10">
        <v>36</v>
      </c>
      <c r="J322" s="10" t="s">
        <v>13</v>
      </c>
      <c r="K322" s="14">
        <v>0.38</v>
      </c>
      <c r="L322" s="10" t="s">
        <v>22</v>
      </c>
      <c r="M322" s="10" t="s">
        <v>2</v>
      </c>
      <c r="N322" s="10">
        <v>0</v>
      </c>
      <c r="O322" s="10" t="str">
        <f t="shared" ref="O322:O385" si="10">IF(F322&lt;580,"Poor",IF(F322&lt;670,"Fair",IF(F322&lt;740,"Good","Excellent")))</f>
        <v>Poor</v>
      </c>
      <c r="P322" s="10" t="str">
        <f t="shared" ref="P322:P385" si="11">IF(K322&lt;0.2,"Low",IF(K322&lt;0.4,"Medium","High"))</f>
        <v>Medium</v>
      </c>
    </row>
    <row r="323" spans="1:16" x14ac:dyDescent="0.25">
      <c r="A323" s="9" t="s">
        <v>371</v>
      </c>
      <c r="B323" s="15">
        <v>45999</v>
      </c>
      <c r="C323" s="9">
        <v>39</v>
      </c>
      <c r="D323" s="9" t="s">
        <v>17</v>
      </c>
      <c r="E323" s="16">
        <v>1325059</v>
      </c>
      <c r="F323" s="9">
        <v>345</v>
      </c>
      <c r="G323" s="16">
        <v>802548</v>
      </c>
      <c r="H323" s="17">
        <v>16</v>
      </c>
      <c r="I323" s="9">
        <v>12</v>
      </c>
      <c r="J323" s="9" t="s">
        <v>12</v>
      </c>
      <c r="K323" s="18">
        <v>0.12</v>
      </c>
      <c r="L323" s="9" t="s">
        <v>18</v>
      </c>
      <c r="M323" s="9" t="s">
        <v>3</v>
      </c>
      <c r="N323" s="9">
        <v>0</v>
      </c>
      <c r="O323" s="9" t="str">
        <f t="shared" si="10"/>
        <v>Poor</v>
      </c>
      <c r="P323" s="9" t="str">
        <f t="shared" si="11"/>
        <v>Low</v>
      </c>
    </row>
    <row r="324" spans="1:16" x14ac:dyDescent="0.25">
      <c r="A324" s="10" t="s">
        <v>372</v>
      </c>
      <c r="B324" s="11">
        <v>45109</v>
      </c>
      <c r="C324" s="10">
        <v>34</v>
      </c>
      <c r="D324" s="10" t="s">
        <v>16</v>
      </c>
      <c r="E324" s="12">
        <v>668212</v>
      </c>
      <c r="F324" s="10">
        <v>549</v>
      </c>
      <c r="G324" s="12">
        <v>1437297</v>
      </c>
      <c r="H324" s="13">
        <v>17</v>
      </c>
      <c r="I324" s="10">
        <v>12</v>
      </c>
      <c r="J324" s="10" t="s">
        <v>11</v>
      </c>
      <c r="K324" s="14">
        <v>0.3</v>
      </c>
      <c r="L324" s="10" t="s">
        <v>22</v>
      </c>
      <c r="M324" s="10" t="s">
        <v>4</v>
      </c>
      <c r="N324" s="10">
        <v>0</v>
      </c>
      <c r="O324" s="10" t="str">
        <f t="shared" si="10"/>
        <v>Poor</v>
      </c>
      <c r="P324" s="10" t="str">
        <f t="shared" si="11"/>
        <v>Medium</v>
      </c>
    </row>
    <row r="325" spans="1:16" x14ac:dyDescent="0.25">
      <c r="A325" s="9" t="s">
        <v>373</v>
      </c>
      <c r="B325" s="15">
        <v>45629</v>
      </c>
      <c r="C325" s="9">
        <v>33</v>
      </c>
      <c r="D325" s="9" t="s">
        <v>9</v>
      </c>
      <c r="E325" s="16">
        <v>2056177</v>
      </c>
      <c r="F325" s="9">
        <v>776</v>
      </c>
      <c r="G325" s="16">
        <v>1877560</v>
      </c>
      <c r="H325" s="17">
        <v>14</v>
      </c>
      <c r="I325" s="9">
        <v>24</v>
      </c>
      <c r="J325" s="9" t="s">
        <v>10</v>
      </c>
      <c r="K325" s="18">
        <v>0.51</v>
      </c>
      <c r="L325" s="9" t="s">
        <v>20</v>
      </c>
      <c r="M325" s="9" t="s">
        <v>2</v>
      </c>
      <c r="N325" s="9">
        <v>0</v>
      </c>
      <c r="O325" s="9" t="str">
        <f t="shared" si="10"/>
        <v>Excellent</v>
      </c>
      <c r="P325" s="9" t="str">
        <f t="shared" si="11"/>
        <v>High</v>
      </c>
    </row>
    <row r="326" spans="1:16" x14ac:dyDescent="0.25">
      <c r="A326" s="10" t="s">
        <v>374</v>
      </c>
      <c r="B326" s="11">
        <v>45537</v>
      </c>
      <c r="C326" s="10">
        <v>47</v>
      </c>
      <c r="D326" s="10" t="s">
        <v>17</v>
      </c>
      <c r="E326" s="12">
        <v>2331988</v>
      </c>
      <c r="F326" s="10">
        <v>415</v>
      </c>
      <c r="G326" s="12">
        <v>1451006</v>
      </c>
      <c r="H326" s="13">
        <v>20</v>
      </c>
      <c r="I326" s="10">
        <v>12</v>
      </c>
      <c r="J326" s="10" t="s">
        <v>11</v>
      </c>
      <c r="K326" s="14">
        <v>0.42</v>
      </c>
      <c r="L326" s="10" t="s">
        <v>20</v>
      </c>
      <c r="M326" s="10" t="s">
        <v>3</v>
      </c>
      <c r="N326" s="10">
        <v>0</v>
      </c>
      <c r="O326" s="10" t="str">
        <f t="shared" si="10"/>
        <v>Poor</v>
      </c>
      <c r="P326" s="10" t="str">
        <f t="shared" si="11"/>
        <v>High</v>
      </c>
    </row>
    <row r="327" spans="1:16" x14ac:dyDescent="0.25">
      <c r="A327" s="9" t="s">
        <v>375</v>
      </c>
      <c r="B327" s="15">
        <v>45943</v>
      </c>
      <c r="C327" s="9">
        <v>60</v>
      </c>
      <c r="D327" s="9" t="s">
        <v>9</v>
      </c>
      <c r="E327" s="16">
        <v>844613</v>
      </c>
      <c r="F327" s="9">
        <v>329</v>
      </c>
      <c r="G327" s="16">
        <v>1042432</v>
      </c>
      <c r="H327" s="17">
        <v>24</v>
      </c>
      <c r="I327" s="9">
        <v>36</v>
      </c>
      <c r="J327" s="9" t="s">
        <v>13</v>
      </c>
      <c r="K327" s="18">
        <v>0.56000000000000005</v>
      </c>
      <c r="L327" s="9" t="s">
        <v>21</v>
      </c>
      <c r="M327" s="9" t="s">
        <v>5</v>
      </c>
      <c r="N327" s="9">
        <v>1</v>
      </c>
      <c r="O327" s="9" t="str">
        <f t="shared" si="10"/>
        <v>Poor</v>
      </c>
      <c r="P327" s="9" t="str">
        <f t="shared" si="11"/>
        <v>High</v>
      </c>
    </row>
    <row r="328" spans="1:16" x14ac:dyDescent="0.25">
      <c r="A328" s="10" t="s">
        <v>376</v>
      </c>
      <c r="B328" s="11">
        <v>45027</v>
      </c>
      <c r="C328" s="10">
        <v>62</v>
      </c>
      <c r="D328" s="10" t="s">
        <v>17</v>
      </c>
      <c r="E328" s="12">
        <v>1193155</v>
      </c>
      <c r="F328" s="10">
        <v>474</v>
      </c>
      <c r="G328" s="12">
        <v>1226368</v>
      </c>
      <c r="H328" s="13">
        <v>18</v>
      </c>
      <c r="I328" s="10">
        <v>60</v>
      </c>
      <c r="J328" s="10" t="s">
        <v>10</v>
      </c>
      <c r="K328" s="14">
        <v>0.47</v>
      </c>
      <c r="L328" s="10" t="s">
        <v>22</v>
      </c>
      <c r="M328" s="10" t="s">
        <v>4</v>
      </c>
      <c r="N328" s="10">
        <v>1</v>
      </c>
      <c r="O328" s="10" t="str">
        <f t="shared" si="10"/>
        <v>Poor</v>
      </c>
      <c r="P328" s="10" t="str">
        <f t="shared" si="11"/>
        <v>High</v>
      </c>
    </row>
    <row r="329" spans="1:16" x14ac:dyDescent="0.25">
      <c r="A329" s="9" t="s">
        <v>377</v>
      </c>
      <c r="B329" s="15">
        <v>45927</v>
      </c>
      <c r="C329" s="9">
        <v>52</v>
      </c>
      <c r="D329" s="9" t="s">
        <v>17</v>
      </c>
      <c r="E329" s="16">
        <v>1132941</v>
      </c>
      <c r="F329" s="9">
        <v>614</v>
      </c>
      <c r="G329" s="16">
        <v>597025</v>
      </c>
      <c r="H329" s="17">
        <v>21</v>
      </c>
      <c r="I329" s="9">
        <v>12</v>
      </c>
      <c r="J329" s="9" t="s">
        <v>13</v>
      </c>
      <c r="K329" s="18">
        <v>0.37</v>
      </c>
      <c r="L329" s="9" t="s">
        <v>20</v>
      </c>
      <c r="M329" s="9" t="s">
        <v>2</v>
      </c>
      <c r="N329" s="9">
        <v>0</v>
      </c>
      <c r="O329" s="9" t="str">
        <f t="shared" si="10"/>
        <v>Fair</v>
      </c>
      <c r="P329" s="9" t="str">
        <f t="shared" si="11"/>
        <v>Medium</v>
      </c>
    </row>
    <row r="330" spans="1:16" x14ac:dyDescent="0.25">
      <c r="A330" s="10" t="s">
        <v>378</v>
      </c>
      <c r="B330" s="11">
        <v>45401</v>
      </c>
      <c r="C330" s="10">
        <v>64</v>
      </c>
      <c r="D330" s="10" t="s">
        <v>16</v>
      </c>
      <c r="E330" s="12">
        <v>1633471</v>
      </c>
      <c r="F330" s="10">
        <v>577</v>
      </c>
      <c r="G330" s="12">
        <v>1956662</v>
      </c>
      <c r="H330" s="13">
        <v>16</v>
      </c>
      <c r="I330" s="10">
        <v>12</v>
      </c>
      <c r="J330" s="10" t="s">
        <v>12</v>
      </c>
      <c r="K330" s="14">
        <v>0.25</v>
      </c>
      <c r="L330" s="10" t="s">
        <v>18</v>
      </c>
      <c r="M330" s="10" t="s">
        <v>2</v>
      </c>
      <c r="N330" s="10">
        <v>1</v>
      </c>
      <c r="O330" s="10" t="str">
        <f t="shared" si="10"/>
        <v>Poor</v>
      </c>
      <c r="P330" s="10" t="str">
        <f t="shared" si="11"/>
        <v>Medium</v>
      </c>
    </row>
    <row r="331" spans="1:16" x14ac:dyDescent="0.25">
      <c r="A331" s="9" t="s">
        <v>379</v>
      </c>
      <c r="B331" s="15">
        <v>45766</v>
      </c>
      <c r="C331" s="9">
        <v>35</v>
      </c>
      <c r="D331" s="9" t="s">
        <v>16</v>
      </c>
      <c r="E331" s="16">
        <v>1816844</v>
      </c>
      <c r="F331" s="9">
        <v>644</v>
      </c>
      <c r="G331" s="16">
        <v>727218</v>
      </c>
      <c r="H331" s="17">
        <v>11</v>
      </c>
      <c r="I331" s="9">
        <v>60</v>
      </c>
      <c r="J331" s="9" t="s">
        <v>11</v>
      </c>
      <c r="K331" s="18">
        <v>0.14000000000000001</v>
      </c>
      <c r="L331" s="9" t="s">
        <v>20</v>
      </c>
      <c r="M331" s="9" t="s">
        <v>5</v>
      </c>
      <c r="N331" s="9">
        <v>0</v>
      </c>
      <c r="O331" s="9" t="str">
        <f t="shared" si="10"/>
        <v>Fair</v>
      </c>
      <c r="P331" s="9" t="str">
        <f t="shared" si="11"/>
        <v>Low</v>
      </c>
    </row>
    <row r="332" spans="1:16" x14ac:dyDescent="0.25">
      <c r="A332" s="10" t="s">
        <v>380</v>
      </c>
      <c r="B332" s="11">
        <v>45800</v>
      </c>
      <c r="C332" s="10">
        <v>34</v>
      </c>
      <c r="D332" s="10" t="s">
        <v>9</v>
      </c>
      <c r="E332" s="12">
        <v>1764061</v>
      </c>
      <c r="F332" s="10">
        <v>339</v>
      </c>
      <c r="G332" s="12">
        <v>462966</v>
      </c>
      <c r="H332" s="13">
        <v>8</v>
      </c>
      <c r="I332" s="10">
        <v>36</v>
      </c>
      <c r="J332" s="10" t="s">
        <v>10</v>
      </c>
      <c r="K332" s="14">
        <v>0.3</v>
      </c>
      <c r="L332" s="10" t="s">
        <v>19</v>
      </c>
      <c r="M332" s="10" t="s">
        <v>5</v>
      </c>
      <c r="N332" s="10">
        <v>0</v>
      </c>
      <c r="O332" s="10" t="str">
        <f t="shared" si="10"/>
        <v>Poor</v>
      </c>
      <c r="P332" s="10" t="str">
        <f t="shared" si="11"/>
        <v>Medium</v>
      </c>
    </row>
    <row r="333" spans="1:16" x14ac:dyDescent="0.25">
      <c r="A333" s="9" t="s">
        <v>381</v>
      </c>
      <c r="B333" s="15">
        <v>45430</v>
      </c>
      <c r="C333" s="9">
        <v>53</v>
      </c>
      <c r="D333" s="9" t="s">
        <v>17</v>
      </c>
      <c r="E333" s="16">
        <v>529096</v>
      </c>
      <c r="F333" s="9">
        <v>317</v>
      </c>
      <c r="G333" s="16">
        <v>1338028</v>
      </c>
      <c r="H333" s="17">
        <v>15</v>
      </c>
      <c r="I333" s="9">
        <v>24</v>
      </c>
      <c r="J333" s="9" t="s">
        <v>10</v>
      </c>
      <c r="K333" s="18">
        <v>0.12</v>
      </c>
      <c r="L333" s="9" t="s">
        <v>21</v>
      </c>
      <c r="M333" s="9" t="s">
        <v>3</v>
      </c>
      <c r="N333" s="9">
        <v>0</v>
      </c>
      <c r="O333" s="9" t="str">
        <f t="shared" si="10"/>
        <v>Poor</v>
      </c>
      <c r="P333" s="9" t="str">
        <f t="shared" si="11"/>
        <v>Low</v>
      </c>
    </row>
    <row r="334" spans="1:16" x14ac:dyDescent="0.25">
      <c r="A334" s="10" t="s">
        <v>382</v>
      </c>
      <c r="B334" s="11">
        <v>45693</v>
      </c>
      <c r="C334" s="10">
        <v>54</v>
      </c>
      <c r="D334" s="10" t="s">
        <v>9</v>
      </c>
      <c r="E334" s="12">
        <v>1158814</v>
      </c>
      <c r="F334" s="10">
        <v>362</v>
      </c>
      <c r="G334" s="12">
        <v>1688989</v>
      </c>
      <c r="H334" s="13">
        <v>6</v>
      </c>
      <c r="I334" s="10">
        <v>24</v>
      </c>
      <c r="J334" s="10" t="s">
        <v>14</v>
      </c>
      <c r="K334" s="14">
        <v>0.24</v>
      </c>
      <c r="L334" s="10" t="s">
        <v>18</v>
      </c>
      <c r="M334" s="10" t="s">
        <v>4</v>
      </c>
      <c r="N334" s="10">
        <v>1</v>
      </c>
      <c r="O334" s="10" t="str">
        <f t="shared" si="10"/>
        <v>Poor</v>
      </c>
      <c r="P334" s="10" t="str">
        <f t="shared" si="11"/>
        <v>Medium</v>
      </c>
    </row>
    <row r="335" spans="1:16" x14ac:dyDescent="0.25">
      <c r="A335" s="9" t="s">
        <v>383</v>
      </c>
      <c r="B335" s="15">
        <v>45687</v>
      </c>
      <c r="C335" s="9">
        <v>44</v>
      </c>
      <c r="D335" s="9" t="s">
        <v>9</v>
      </c>
      <c r="E335" s="16">
        <v>1445289</v>
      </c>
      <c r="F335" s="9">
        <v>559</v>
      </c>
      <c r="G335" s="16">
        <v>1231705</v>
      </c>
      <c r="H335" s="17">
        <v>8</v>
      </c>
      <c r="I335" s="9">
        <v>24</v>
      </c>
      <c r="J335" s="9" t="s">
        <v>12</v>
      </c>
      <c r="K335" s="18">
        <v>0.48</v>
      </c>
      <c r="L335" s="9" t="s">
        <v>18</v>
      </c>
      <c r="M335" s="9" t="s">
        <v>3</v>
      </c>
      <c r="N335" s="9">
        <v>1</v>
      </c>
      <c r="O335" s="9" t="str">
        <f t="shared" si="10"/>
        <v>Poor</v>
      </c>
      <c r="P335" s="9" t="str">
        <f t="shared" si="11"/>
        <v>High</v>
      </c>
    </row>
    <row r="336" spans="1:16" x14ac:dyDescent="0.25">
      <c r="A336" s="10" t="s">
        <v>384</v>
      </c>
      <c r="B336" s="11">
        <v>45083</v>
      </c>
      <c r="C336" s="10">
        <v>37</v>
      </c>
      <c r="D336" s="10" t="s">
        <v>16</v>
      </c>
      <c r="E336" s="12">
        <v>1851463</v>
      </c>
      <c r="F336" s="10">
        <v>768</v>
      </c>
      <c r="G336" s="12">
        <v>210690</v>
      </c>
      <c r="H336" s="13">
        <v>10</v>
      </c>
      <c r="I336" s="10">
        <v>36</v>
      </c>
      <c r="J336" s="10" t="s">
        <v>9</v>
      </c>
      <c r="K336" s="14">
        <v>0.45</v>
      </c>
      <c r="L336" s="10" t="s">
        <v>19</v>
      </c>
      <c r="M336" s="10" t="s">
        <v>4</v>
      </c>
      <c r="N336" s="10">
        <v>0</v>
      </c>
      <c r="O336" s="10" t="str">
        <f t="shared" si="10"/>
        <v>Excellent</v>
      </c>
      <c r="P336" s="10" t="str">
        <f t="shared" si="11"/>
        <v>High</v>
      </c>
    </row>
    <row r="337" spans="1:16" x14ac:dyDescent="0.25">
      <c r="A337" s="9" t="s">
        <v>385</v>
      </c>
      <c r="B337" s="15">
        <v>45366</v>
      </c>
      <c r="C337" s="9">
        <v>61</v>
      </c>
      <c r="D337" s="9" t="s">
        <v>9</v>
      </c>
      <c r="E337" s="16">
        <v>850308</v>
      </c>
      <c r="F337" s="9">
        <v>383</v>
      </c>
      <c r="G337" s="16">
        <v>1195158</v>
      </c>
      <c r="H337" s="17">
        <v>18</v>
      </c>
      <c r="I337" s="9">
        <v>12</v>
      </c>
      <c r="J337" s="9" t="s">
        <v>10</v>
      </c>
      <c r="K337" s="18">
        <v>0.47</v>
      </c>
      <c r="L337" s="9" t="s">
        <v>22</v>
      </c>
      <c r="M337" s="9" t="s">
        <v>5</v>
      </c>
      <c r="N337" s="9">
        <v>1</v>
      </c>
      <c r="O337" s="9" t="str">
        <f t="shared" si="10"/>
        <v>Poor</v>
      </c>
      <c r="P337" s="9" t="str">
        <f t="shared" si="11"/>
        <v>High</v>
      </c>
    </row>
    <row r="338" spans="1:16" x14ac:dyDescent="0.25">
      <c r="A338" s="10" t="s">
        <v>386</v>
      </c>
      <c r="B338" s="11">
        <v>45561</v>
      </c>
      <c r="C338" s="10">
        <v>46</v>
      </c>
      <c r="D338" s="10" t="s">
        <v>9</v>
      </c>
      <c r="E338" s="12">
        <v>2076974</v>
      </c>
      <c r="F338" s="10">
        <v>725</v>
      </c>
      <c r="G338" s="12">
        <v>1929850</v>
      </c>
      <c r="H338" s="13">
        <v>11</v>
      </c>
      <c r="I338" s="10">
        <v>60</v>
      </c>
      <c r="J338" s="10" t="s">
        <v>11</v>
      </c>
      <c r="K338" s="14">
        <v>0.3</v>
      </c>
      <c r="L338" s="10" t="s">
        <v>21</v>
      </c>
      <c r="M338" s="10" t="s">
        <v>3</v>
      </c>
      <c r="N338" s="10">
        <v>0</v>
      </c>
      <c r="O338" s="10" t="str">
        <f t="shared" si="10"/>
        <v>Good</v>
      </c>
      <c r="P338" s="10" t="str">
        <f t="shared" si="11"/>
        <v>Medium</v>
      </c>
    </row>
    <row r="339" spans="1:16" x14ac:dyDescent="0.25">
      <c r="A339" s="9" t="s">
        <v>387</v>
      </c>
      <c r="B339" s="15">
        <v>45021</v>
      </c>
      <c r="C339" s="9">
        <v>54</v>
      </c>
      <c r="D339" s="9" t="s">
        <v>9</v>
      </c>
      <c r="E339" s="16">
        <v>1296996</v>
      </c>
      <c r="F339" s="9">
        <v>835</v>
      </c>
      <c r="G339" s="16">
        <v>1804935</v>
      </c>
      <c r="H339" s="17">
        <v>23</v>
      </c>
      <c r="I339" s="9">
        <v>24</v>
      </c>
      <c r="J339" s="9" t="s">
        <v>14</v>
      </c>
      <c r="K339" s="18">
        <v>0.26</v>
      </c>
      <c r="L339" s="9" t="s">
        <v>20</v>
      </c>
      <c r="M339" s="9" t="s">
        <v>2</v>
      </c>
      <c r="N339" s="9">
        <v>0</v>
      </c>
      <c r="O339" s="9" t="str">
        <f t="shared" si="10"/>
        <v>Excellent</v>
      </c>
      <c r="P339" s="9" t="str">
        <f t="shared" si="11"/>
        <v>Medium</v>
      </c>
    </row>
    <row r="340" spans="1:16" x14ac:dyDescent="0.25">
      <c r="A340" s="10" t="s">
        <v>388</v>
      </c>
      <c r="B340" s="11">
        <v>45601</v>
      </c>
      <c r="C340" s="10">
        <v>38</v>
      </c>
      <c r="D340" s="10" t="s">
        <v>9</v>
      </c>
      <c r="E340" s="12">
        <v>2027331</v>
      </c>
      <c r="F340" s="10">
        <v>502</v>
      </c>
      <c r="G340" s="12">
        <v>1619172</v>
      </c>
      <c r="H340" s="13">
        <v>18</v>
      </c>
      <c r="I340" s="10">
        <v>60</v>
      </c>
      <c r="J340" s="10" t="s">
        <v>9</v>
      </c>
      <c r="K340" s="14">
        <v>0.21</v>
      </c>
      <c r="L340" s="10" t="s">
        <v>18</v>
      </c>
      <c r="M340" s="10" t="s">
        <v>4</v>
      </c>
      <c r="N340" s="10">
        <v>1</v>
      </c>
      <c r="O340" s="10" t="str">
        <f t="shared" si="10"/>
        <v>Poor</v>
      </c>
      <c r="P340" s="10" t="str">
        <f t="shared" si="11"/>
        <v>Medium</v>
      </c>
    </row>
    <row r="341" spans="1:16" x14ac:dyDescent="0.25">
      <c r="A341" s="9" t="s">
        <v>389</v>
      </c>
      <c r="B341" s="15">
        <v>44981</v>
      </c>
      <c r="C341" s="9">
        <v>54</v>
      </c>
      <c r="D341" s="9" t="s">
        <v>17</v>
      </c>
      <c r="E341" s="16">
        <v>1733727</v>
      </c>
      <c r="F341" s="9">
        <v>796</v>
      </c>
      <c r="G341" s="16">
        <v>1300614</v>
      </c>
      <c r="H341" s="17">
        <v>23</v>
      </c>
      <c r="I341" s="9">
        <v>36</v>
      </c>
      <c r="J341" s="9" t="s">
        <v>13</v>
      </c>
      <c r="K341" s="18">
        <v>0.41</v>
      </c>
      <c r="L341" s="9" t="s">
        <v>21</v>
      </c>
      <c r="M341" s="9" t="s">
        <v>3</v>
      </c>
      <c r="N341" s="9">
        <v>0</v>
      </c>
      <c r="O341" s="9" t="str">
        <f t="shared" si="10"/>
        <v>Excellent</v>
      </c>
      <c r="P341" s="9" t="str">
        <f t="shared" si="11"/>
        <v>High</v>
      </c>
    </row>
    <row r="342" spans="1:16" x14ac:dyDescent="0.25">
      <c r="A342" s="10" t="s">
        <v>390</v>
      </c>
      <c r="B342" s="11">
        <v>45623</v>
      </c>
      <c r="C342" s="10">
        <v>54</v>
      </c>
      <c r="D342" s="10" t="s">
        <v>9</v>
      </c>
      <c r="E342" s="12">
        <v>632489</v>
      </c>
      <c r="F342" s="10">
        <v>313</v>
      </c>
      <c r="G342" s="12">
        <v>1444681</v>
      </c>
      <c r="H342" s="13">
        <v>15</v>
      </c>
      <c r="I342" s="10">
        <v>60</v>
      </c>
      <c r="J342" s="10" t="s">
        <v>11</v>
      </c>
      <c r="K342" s="14">
        <v>0.52</v>
      </c>
      <c r="L342" s="10" t="s">
        <v>21</v>
      </c>
      <c r="M342" s="10" t="s">
        <v>5</v>
      </c>
      <c r="N342" s="10">
        <v>1</v>
      </c>
      <c r="O342" s="10" t="str">
        <f t="shared" si="10"/>
        <v>Poor</v>
      </c>
      <c r="P342" s="10" t="str">
        <f t="shared" si="11"/>
        <v>High</v>
      </c>
    </row>
    <row r="343" spans="1:16" x14ac:dyDescent="0.25">
      <c r="A343" s="9" t="s">
        <v>391</v>
      </c>
      <c r="B343" s="15">
        <v>45942</v>
      </c>
      <c r="C343" s="9">
        <v>23</v>
      </c>
      <c r="D343" s="9" t="s">
        <v>9</v>
      </c>
      <c r="E343" s="16">
        <v>1295179</v>
      </c>
      <c r="F343" s="9">
        <v>480</v>
      </c>
      <c r="G343" s="16">
        <v>1692599</v>
      </c>
      <c r="H343" s="17">
        <v>21</v>
      </c>
      <c r="I343" s="9">
        <v>60</v>
      </c>
      <c r="J343" s="9" t="s">
        <v>14</v>
      </c>
      <c r="K343" s="18">
        <v>0.4</v>
      </c>
      <c r="L343" s="9" t="s">
        <v>21</v>
      </c>
      <c r="M343" s="9" t="s">
        <v>2</v>
      </c>
      <c r="N343" s="9">
        <v>1</v>
      </c>
      <c r="O343" s="9" t="str">
        <f t="shared" si="10"/>
        <v>Poor</v>
      </c>
      <c r="P343" s="9" t="str">
        <f t="shared" si="11"/>
        <v>High</v>
      </c>
    </row>
    <row r="344" spans="1:16" x14ac:dyDescent="0.25">
      <c r="A344" s="10" t="s">
        <v>392</v>
      </c>
      <c r="B344" s="11">
        <v>45527</v>
      </c>
      <c r="C344" s="10">
        <v>31</v>
      </c>
      <c r="D344" s="10" t="s">
        <v>17</v>
      </c>
      <c r="E344" s="12">
        <v>812600</v>
      </c>
      <c r="F344" s="10">
        <v>848</v>
      </c>
      <c r="G344" s="12">
        <v>302203</v>
      </c>
      <c r="H344" s="13">
        <v>15</v>
      </c>
      <c r="I344" s="10">
        <v>36</v>
      </c>
      <c r="J344" s="10" t="s">
        <v>12</v>
      </c>
      <c r="K344" s="14">
        <v>0.48</v>
      </c>
      <c r="L344" s="10" t="s">
        <v>20</v>
      </c>
      <c r="M344" s="10" t="s">
        <v>5</v>
      </c>
      <c r="N344" s="10">
        <v>0</v>
      </c>
      <c r="O344" s="10" t="str">
        <f t="shared" si="10"/>
        <v>Excellent</v>
      </c>
      <c r="P344" s="10" t="str">
        <f t="shared" si="11"/>
        <v>High</v>
      </c>
    </row>
    <row r="345" spans="1:16" x14ac:dyDescent="0.25">
      <c r="A345" s="9" t="s">
        <v>393</v>
      </c>
      <c r="B345" s="15">
        <v>45761</v>
      </c>
      <c r="C345" s="9">
        <v>61</v>
      </c>
      <c r="D345" s="9" t="s">
        <v>16</v>
      </c>
      <c r="E345" s="16">
        <v>1502315</v>
      </c>
      <c r="F345" s="9">
        <v>583</v>
      </c>
      <c r="G345" s="16">
        <v>560536</v>
      </c>
      <c r="H345" s="17">
        <v>24</v>
      </c>
      <c r="I345" s="9">
        <v>36</v>
      </c>
      <c r="J345" s="9" t="s">
        <v>14</v>
      </c>
      <c r="K345" s="18">
        <v>0.41</v>
      </c>
      <c r="L345" s="9" t="s">
        <v>19</v>
      </c>
      <c r="M345" s="9" t="s">
        <v>5</v>
      </c>
      <c r="N345" s="9">
        <v>1</v>
      </c>
      <c r="O345" s="9" t="str">
        <f t="shared" si="10"/>
        <v>Fair</v>
      </c>
      <c r="P345" s="9" t="str">
        <f t="shared" si="11"/>
        <v>High</v>
      </c>
    </row>
    <row r="346" spans="1:16" x14ac:dyDescent="0.25">
      <c r="A346" s="10" t="s">
        <v>394</v>
      </c>
      <c r="B346" s="11">
        <v>44960</v>
      </c>
      <c r="C346" s="10">
        <v>60</v>
      </c>
      <c r="D346" s="10" t="s">
        <v>17</v>
      </c>
      <c r="E346" s="12">
        <v>1606920</v>
      </c>
      <c r="F346" s="10">
        <v>690</v>
      </c>
      <c r="G346" s="12">
        <v>716839</v>
      </c>
      <c r="H346" s="13">
        <v>13</v>
      </c>
      <c r="I346" s="10">
        <v>12</v>
      </c>
      <c r="J346" s="10" t="s">
        <v>11</v>
      </c>
      <c r="K346" s="14">
        <v>0.55000000000000004</v>
      </c>
      <c r="L346" s="10" t="s">
        <v>19</v>
      </c>
      <c r="M346" s="10" t="s">
        <v>3</v>
      </c>
      <c r="N346" s="10">
        <v>1</v>
      </c>
      <c r="O346" s="10" t="str">
        <f t="shared" si="10"/>
        <v>Good</v>
      </c>
      <c r="P346" s="10" t="str">
        <f t="shared" si="11"/>
        <v>High</v>
      </c>
    </row>
    <row r="347" spans="1:16" x14ac:dyDescent="0.25">
      <c r="A347" s="9" t="s">
        <v>395</v>
      </c>
      <c r="B347" s="15">
        <v>45026</v>
      </c>
      <c r="C347" s="9">
        <v>39</v>
      </c>
      <c r="D347" s="9" t="s">
        <v>16</v>
      </c>
      <c r="E347" s="16">
        <v>2242322</v>
      </c>
      <c r="F347" s="9">
        <v>588</v>
      </c>
      <c r="G347" s="16">
        <v>281288</v>
      </c>
      <c r="H347" s="17">
        <v>15</v>
      </c>
      <c r="I347" s="9">
        <v>60</v>
      </c>
      <c r="J347" s="9" t="s">
        <v>10</v>
      </c>
      <c r="K347" s="18">
        <v>0.59</v>
      </c>
      <c r="L347" s="9" t="s">
        <v>19</v>
      </c>
      <c r="M347" s="9" t="s">
        <v>5</v>
      </c>
      <c r="N347" s="9">
        <v>1</v>
      </c>
      <c r="O347" s="9" t="str">
        <f t="shared" si="10"/>
        <v>Fair</v>
      </c>
      <c r="P347" s="9" t="str">
        <f t="shared" si="11"/>
        <v>High</v>
      </c>
    </row>
    <row r="348" spans="1:16" x14ac:dyDescent="0.25">
      <c r="A348" s="10" t="s">
        <v>396</v>
      </c>
      <c r="B348" s="11">
        <v>44960</v>
      </c>
      <c r="C348" s="10">
        <v>30</v>
      </c>
      <c r="D348" s="10" t="s">
        <v>17</v>
      </c>
      <c r="E348" s="12">
        <v>1974248</v>
      </c>
      <c r="F348" s="10">
        <v>536</v>
      </c>
      <c r="G348" s="12">
        <v>1104265</v>
      </c>
      <c r="H348" s="13">
        <v>10</v>
      </c>
      <c r="I348" s="10">
        <v>12</v>
      </c>
      <c r="J348" s="10" t="s">
        <v>10</v>
      </c>
      <c r="K348" s="14">
        <v>0.13</v>
      </c>
      <c r="L348" s="10" t="s">
        <v>19</v>
      </c>
      <c r="M348" s="10" t="s">
        <v>3</v>
      </c>
      <c r="N348" s="10">
        <v>0</v>
      </c>
      <c r="O348" s="10" t="str">
        <f t="shared" si="10"/>
        <v>Poor</v>
      </c>
      <c r="P348" s="10" t="str">
        <f t="shared" si="11"/>
        <v>Low</v>
      </c>
    </row>
    <row r="349" spans="1:16" x14ac:dyDescent="0.25">
      <c r="A349" s="9" t="s">
        <v>397</v>
      </c>
      <c r="B349" s="15">
        <v>45960</v>
      </c>
      <c r="C349" s="9">
        <v>51</v>
      </c>
      <c r="D349" s="9" t="s">
        <v>16</v>
      </c>
      <c r="E349" s="16">
        <v>586249</v>
      </c>
      <c r="F349" s="9">
        <v>639</v>
      </c>
      <c r="G349" s="16">
        <v>1623282</v>
      </c>
      <c r="H349" s="17">
        <v>19</v>
      </c>
      <c r="I349" s="9">
        <v>12</v>
      </c>
      <c r="J349" s="9" t="s">
        <v>10</v>
      </c>
      <c r="K349" s="18">
        <v>0.6</v>
      </c>
      <c r="L349" s="9" t="s">
        <v>22</v>
      </c>
      <c r="M349" s="9" t="s">
        <v>2</v>
      </c>
      <c r="N349" s="9">
        <v>1</v>
      </c>
      <c r="O349" s="9" t="str">
        <f t="shared" si="10"/>
        <v>Fair</v>
      </c>
      <c r="P349" s="9" t="str">
        <f t="shared" si="11"/>
        <v>High</v>
      </c>
    </row>
    <row r="350" spans="1:16" x14ac:dyDescent="0.25">
      <c r="A350" s="10" t="s">
        <v>398</v>
      </c>
      <c r="B350" s="11">
        <v>44999</v>
      </c>
      <c r="C350" s="10">
        <v>52</v>
      </c>
      <c r="D350" s="10" t="s">
        <v>16</v>
      </c>
      <c r="E350" s="12">
        <v>488781</v>
      </c>
      <c r="F350" s="10">
        <v>763</v>
      </c>
      <c r="G350" s="12">
        <v>97889</v>
      </c>
      <c r="H350" s="13">
        <v>17</v>
      </c>
      <c r="I350" s="10">
        <v>24</v>
      </c>
      <c r="J350" s="10" t="s">
        <v>11</v>
      </c>
      <c r="K350" s="14">
        <v>0.28999999999999998</v>
      </c>
      <c r="L350" s="10" t="s">
        <v>22</v>
      </c>
      <c r="M350" s="10" t="s">
        <v>3</v>
      </c>
      <c r="N350" s="10">
        <v>0</v>
      </c>
      <c r="O350" s="10" t="str">
        <f t="shared" si="10"/>
        <v>Excellent</v>
      </c>
      <c r="P350" s="10" t="str">
        <f t="shared" si="11"/>
        <v>Medium</v>
      </c>
    </row>
    <row r="351" spans="1:16" x14ac:dyDescent="0.25">
      <c r="A351" s="9" t="s">
        <v>399</v>
      </c>
      <c r="B351" s="15">
        <v>45908</v>
      </c>
      <c r="C351" s="9">
        <v>34</v>
      </c>
      <c r="D351" s="9" t="s">
        <v>16</v>
      </c>
      <c r="E351" s="16">
        <v>1812113</v>
      </c>
      <c r="F351" s="9">
        <v>559</v>
      </c>
      <c r="G351" s="16">
        <v>1245568</v>
      </c>
      <c r="H351" s="17">
        <v>20</v>
      </c>
      <c r="I351" s="9">
        <v>60</v>
      </c>
      <c r="J351" s="9" t="s">
        <v>11</v>
      </c>
      <c r="K351" s="18">
        <v>0.55000000000000004</v>
      </c>
      <c r="L351" s="9" t="s">
        <v>18</v>
      </c>
      <c r="M351" s="9" t="s">
        <v>5</v>
      </c>
      <c r="N351" s="9">
        <v>1</v>
      </c>
      <c r="O351" s="9" t="str">
        <f t="shared" si="10"/>
        <v>Poor</v>
      </c>
      <c r="P351" s="9" t="str">
        <f t="shared" si="11"/>
        <v>High</v>
      </c>
    </row>
    <row r="352" spans="1:16" x14ac:dyDescent="0.25">
      <c r="A352" s="10" t="s">
        <v>400</v>
      </c>
      <c r="B352" s="11">
        <v>45059</v>
      </c>
      <c r="C352" s="10">
        <v>27</v>
      </c>
      <c r="D352" s="10" t="s">
        <v>9</v>
      </c>
      <c r="E352" s="12">
        <v>587799</v>
      </c>
      <c r="F352" s="10">
        <v>473</v>
      </c>
      <c r="G352" s="12">
        <v>1730016</v>
      </c>
      <c r="H352" s="13">
        <v>8</v>
      </c>
      <c r="I352" s="10">
        <v>36</v>
      </c>
      <c r="J352" s="10" t="s">
        <v>9</v>
      </c>
      <c r="K352" s="14">
        <v>0.15</v>
      </c>
      <c r="L352" s="10" t="s">
        <v>20</v>
      </c>
      <c r="M352" s="10" t="s">
        <v>2</v>
      </c>
      <c r="N352" s="10">
        <v>1</v>
      </c>
      <c r="O352" s="10" t="str">
        <f t="shared" si="10"/>
        <v>Poor</v>
      </c>
      <c r="P352" s="10" t="str">
        <f t="shared" si="11"/>
        <v>Low</v>
      </c>
    </row>
    <row r="353" spans="1:16" x14ac:dyDescent="0.25">
      <c r="A353" s="9" t="s">
        <v>401</v>
      </c>
      <c r="B353" s="15">
        <v>45714</v>
      </c>
      <c r="C353" s="9">
        <v>22</v>
      </c>
      <c r="D353" s="9" t="s">
        <v>16</v>
      </c>
      <c r="E353" s="16">
        <v>1469215</v>
      </c>
      <c r="F353" s="9">
        <v>395</v>
      </c>
      <c r="G353" s="16">
        <v>1297930</v>
      </c>
      <c r="H353" s="17">
        <v>6</v>
      </c>
      <c r="I353" s="9">
        <v>36</v>
      </c>
      <c r="J353" s="9" t="s">
        <v>12</v>
      </c>
      <c r="K353" s="18">
        <v>0.19</v>
      </c>
      <c r="L353" s="9" t="s">
        <v>21</v>
      </c>
      <c r="M353" s="9" t="s">
        <v>5</v>
      </c>
      <c r="N353" s="9">
        <v>0</v>
      </c>
      <c r="O353" s="9" t="str">
        <f t="shared" si="10"/>
        <v>Poor</v>
      </c>
      <c r="P353" s="9" t="str">
        <f t="shared" si="11"/>
        <v>Low</v>
      </c>
    </row>
    <row r="354" spans="1:16" x14ac:dyDescent="0.25">
      <c r="A354" s="10" t="s">
        <v>402</v>
      </c>
      <c r="B354" s="11">
        <v>45883</v>
      </c>
      <c r="C354" s="10">
        <v>59</v>
      </c>
      <c r="D354" s="10" t="s">
        <v>16</v>
      </c>
      <c r="E354" s="12">
        <v>392471</v>
      </c>
      <c r="F354" s="10">
        <v>442</v>
      </c>
      <c r="G354" s="12">
        <v>1857531</v>
      </c>
      <c r="H354" s="13">
        <v>6</v>
      </c>
      <c r="I354" s="10">
        <v>24</v>
      </c>
      <c r="J354" s="10" t="s">
        <v>12</v>
      </c>
      <c r="K354" s="14">
        <v>0.59</v>
      </c>
      <c r="L354" s="10" t="s">
        <v>21</v>
      </c>
      <c r="M354" s="10" t="s">
        <v>2</v>
      </c>
      <c r="N354" s="10">
        <v>1</v>
      </c>
      <c r="O354" s="10" t="str">
        <f t="shared" si="10"/>
        <v>Poor</v>
      </c>
      <c r="P354" s="10" t="str">
        <f t="shared" si="11"/>
        <v>High</v>
      </c>
    </row>
    <row r="355" spans="1:16" x14ac:dyDescent="0.25">
      <c r="A355" s="9" t="s">
        <v>403</v>
      </c>
      <c r="B355" s="15">
        <v>45626</v>
      </c>
      <c r="C355" s="9">
        <v>44</v>
      </c>
      <c r="D355" s="9" t="s">
        <v>9</v>
      </c>
      <c r="E355" s="16">
        <v>2388543</v>
      </c>
      <c r="F355" s="9">
        <v>835</v>
      </c>
      <c r="G355" s="16">
        <v>128715</v>
      </c>
      <c r="H355" s="17">
        <v>7</v>
      </c>
      <c r="I355" s="9">
        <v>60</v>
      </c>
      <c r="J355" s="9" t="s">
        <v>14</v>
      </c>
      <c r="K355" s="18">
        <v>0.11</v>
      </c>
      <c r="L355" s="9" t="s">
        <v>18</v>
      </c>
      <c r="M355" s="9" t="s">
        <v>3</v>
      </c>
      <c r="N355" s="9">
        <v>1</v>
      </c>
      <c r="O355" s="9" t="str">
        <f t="shared" si="10"/>
        <v>Excellent</v>
      </c>
      <c r="P355" s="9" t="str">
        <f t="shared" si="11"/>
        <v>Low</v>
      </c>
    </row>
    <row r="356" spans="1:16" x14ac:dyDescent="0.25">
      <c r="A356" s="10" t="s">
        <v>404</v>
      </c>
      <c r="B356" s="11">
        <v>45394</v>
      </c>
      <c r="C356" s="10">
        <v>61</v>
      </c>
      <c r="D356" s="10" t="s">
        <v>17</v>
      </c>
      <c r="E356" s="12">
        <v>1105058</v>
      </c>
      <c r="F356" s="10">
        <v>530</v>
      </c>
      <c r="G356" s="12">
        <v>525382</v>
      </c>
      <c r="H356" s="13">
        <v>21</v>
      </c>
      <c r="I356" s="10">
        <v>24</v>
      </c>
      <c r="J356" s="10" t="s">
        <v>14</v>
      </c>
      <c r="K356" s="14">
        <v>0.39</v>
      </c>
      <c r="L356" s="10" t="s">
        <v>19</v>
      </c>
      <c r="M356" s="10" t="s">
        <v>3</v>
      </c>
      <c r="N356" s="10">
        <v>0</v>
      </c>
      <c r="O356" s="10" t="str">
        <f t="shared" si="10"/>
        <v>Poor</v>
      </c>
      <c r="P356" s="10" t="str">
        <f t="shared" si="11"/>
        <v>Medium</v>
      </c>
    </row>
    <row r="357" spans="1:16" x14ac:dyDescent="0.25">
      <c r="A357" s="9" t="s">
        <v>405</v>
      </c>
      <c r="B357" s="15">
        <v>46007</v>
      </c>
      <c r="C357" s="9">
        <v>25</v>
      </c>
      <c r="D357" s="9" t="s">
        <v>17</v>
      </c>
      <c r="E357" s="16">
        <v>1297481</v>
      </c>
      <c r="F357" s="9">
        <v>700</v>
      </c>
      <c r="G357" s="16">
        <v>757258</v>
      </c>
      <c r="H357" s="17">
        <v>14</v>
      </c>
      <c r="I357" s="9">
        <v>24</v>
      </c>
      <c r="J357" s="9" t="s">
        <v>10</v>
      </c>
      <c r="K357" s="18">
        <v>0.32</v>
      </c>
      <c r="L357" s="9" t="s">
        <v>18</v>
      </c>
      <c r="M357" s="9" t="s">
        <v>5</v>
      </c>
      <c r="N357" s="9">
        <v>0</v>
      </c>
      <c r="O357" s="9" t="str">
        <f t="shared" si="10"/>
        <v>Good</v>
      </c>
      <c r="P357" s="9" t="str">
        <f t="shared" si="11"/>
        <v>Medium</v>
      </c>
    </row>
    <row r="358" spans="1:16" x14ac:dyDescent="0.25">
      <c r="A358" s="10" t="s">
        <v>406</v>
      </c>
      <c r="B358" s="11">
        <v>45539</v>
      </c>
      <c r="C358" s="10">
        <v>49</v>
      </c>
      <c r="D358" s="10" t="s">
        <v>17</v>
      </c>
      <c r="E358" s="12">
        <v>1099172</v>
      </c>
      <c r="F358" s="10">
        <v>813</v>
      </c>
      <c r="G358" s="12">
        <v>462942</v>
      </c>
      <c r="H358" s="13">
        <v>22</v>
      </c>
      <c r="I358" s="10">
        <v>36</v>
      </c>
      <c r="J358" s="10" t="s">
        <v>12</v>
      </c>
      <c r="K358" s="14">
        <v>0.15</v>
      </c>
      <c r="L358" s="10" t="s">
        <v>20</v>
      </c>
      <c r="M358" s="10" t="s">
        <v>4</v>
      </c>
      <c r="N358" s="10">
        <v>0</v>
      </c>
      <c r="O358" s="10" t="str">
        <f t="shared" si="10"/>
        <v>Excellent</v>
      </c>
      <c r="P358" s="10" t="str">
        <f t="shared" si="11"/>
        <v>Low</v>
      </c>
    </row>
    <row r="359" spans="1:16" x14ac:dyDescent="0.25">
      <c r="A359" s="9" t="s">
        <v>407</v>
      </c>
      <c r="B359" s="15">
        <v>45517</v>
      </c>
      <c r="C359" s="9">
        <v>48</v>
      </c>
      <c r="D359" s="9" t="s">
        <v>17</v>
      </c>
      <c r="E359" s="16">
        <v>288931</v>
      </c>
      <c r="F359" s="9">
        <v>738</v>
      </c>
      <c r="G359" s="16">
        <v>1823851</v>
      </c>
      <c r="H359" s="17">
        <v>18</v>
      </c>
      <c r="I359" s="9">
        <v>36</v>
      </c>
      <c r="J359" s="9" t="s">
        <v>11</v>
      </c>
      <c r="K359" s="18">
        <v>0.43</v>
      </c>
      <c r="L359" s="9" t="s">
        <v>20</v>
      </c>
      <c r="M359" s="9" t="s">
        <v>3</v>
      </c>
      <c r="N359" s="9">
        <v>0</v>
      </c>
      <c r="O359" s="9" t="str">
        <f t="shared" si="10"/>
        <v>Good</v>
      </c>
      <c r="P359" s="9" t="str">
        <f t="shared" si="11"/>
        <v>High</v>
      </c>
    </row>
    <row r="360" spans="1:16" x14ac:dyDescent="0.25">
      <c r="A360" s="10" t="s">
        <v>408</v>
      </c>
      <c r="B360" s="11">
        <v>45991</v>
      </c>
      <c r="C360" s="10">
        <v>43</v>
      </c>
      <c r="D360" s="10" t="s">
        <v>16</v>
      </c>
      <c r="E360" s="12">
        <v>1372526</v>
      </c>
      <c r="F360" s="10">
        <v>404</v>
      </c>
      <c r="G360" s="12">
        <v>1733001</v>
      </c>
      <c r="H360" s="13">
        <v>16</v>
      </c>
      <c r="I360" s="10">
        <v>60</v>
      </c>
      <c r="J360" s="10" t="s">
        <v>11</v>
      </c>
      <c r="K360" s="14">
        <v>0.51</v>
      </c>
      <c r="L360" s="10" t="s">
        <v>19</v>
      </c>
      <c r="M360" s="10" t="s">
        <v>3</v>
      </c>
      <c r="N360" s="10">
        <v>1</v>
      </c>
      <c r="O360" s="10" t="str">
        <f t="shared" si="10"/>
        <v>Poor</v>
      </c>
      <c r="P360" s="10" t="str">
        <f t="shared" si="11"/>
        <v>High</v>
      </c>
    </row>
    <row r="361" spans="1:16" x14ac:dyDescent="0.25">
      <c r="A361" s="9" t="s">
        <v>409</v>
      </c>
      <c r="B361" s="15">
        <v>45083</v>
      </c>
      <c r="C361" s="9">
        <v>26</v>
      </c>
      <c r="D361" s="9" t="s">
        <v>17</v>
      </c>
      <c r="E361" s="16">
        <v>1721051</v>
      </c>
      <c r="F361" s="9">
        <v>408</v>
      </c>
      <c r="G361" s="16">
        <v>1291902</v>
      </c>
      <c r="H361" s="17">
        <v>22</v>
      </c>
      <c r="I361" s="9">
        <v>24</v>
      </c>
      <c r="J361" s="9" t="s">
        <v>14</v>
      </c>
      <c r="K361" s="18">
        <v>0.17</v>
      </c>
      <c r="L361" s="9" t="s">
        <v>21</v>
      </c>
      <c r="M361" s="9" t="s">
        <v>5</v>
      </c>
      <c r="N361" s="9">
        <v>0</v>
      </c>
      <c r="O361" s="9" t="str">
        <f t="shared" si="10"/>
        <v>Poor</v>
      </c>
      <c r="P361" s="9" t="str">
        <f t="shared" si="11"/>
        <v>Low</v>
      </c>
    </row>
    <row r="362" spans="1:16" x14ac:dyDescent="0.25">
      <c r="A362" s="10" t="s">
        <v>410</v>
      </c>
      <c r="B362" s="11">
        <v>45702</v>
      </c>
      <c r="C362" s="10">
        <v>51</v>
      </c>
      <c r="D362" s="10" t="s">
        <v>17</v>
      </c>
      <c r="E362" s="12">
        <v>2239883</v>
      </c>
      <c r="F362" s="10">
        <v>631</v>
      </c>
      <c r="G362" s="12">
        <v>85750</v>
      </c>
      <c r="H362" s="13">
        <v>18</v>
      </c>
      <c r="I362" s="10">
        <v>12</v>
      </c>
      <c r="J362" s="10" t="s">
        <v>10</v>
      </c>
      <c r="K362" s="14">
        <v>0.22</v>
      </c>
      <c r="L362" s="10" t="s">
        <v>19</v>
      </c>
      <c r="M362" s="10" t="s">
        <v>5</v>
      </c>
      <c r="N362" s="10">
        <v>0</v>
      </c>
      <c r="O362" s="10" t="str">
        <f t="shared" si="10"/>
        <v>Fair</v>
      </c>
      <c r="P362" s="10" t="str">
        <f t="shared" si="11"/>
        <v>Medium</v>
      </c>
    </row>
    <row r="363" spans="1:16" x14ac:dyDescent="0.25">
      <c r="A363" s="9" t="s">
        <v>411</v>
      </c>
      <c r="B363" s="15">
        <v>45356</v>
      </c>
      <c r="C363" s="9">
        <v>48</v>
      </c>
      <c r="D363" s="9" t="s">
        <v>9</v>
      </c>
      <c r="E363" s="16">
        <v>1989958</v>
      </c>
      <c r="F363" s="9">
        <v>509</v>
      </c>
      <c r="G363" s="16">
        <v>1590779</v>
      </c>
      <c r="H363" s="17">
        <v>18</v>
      </c>
      <c r="I363" s="9">
        <v>60</v>
      </c>
      <c r="J363" s="9" t="s">
        <v>13</v>
      </c>
      <c r="K363" s="18">
        <v>0.28000000000000003</v>
      </c>
      <c r="L363" s="9" t="s">
        <v>19</v>
      </c>
      <c r="M363" s="9" t="s">
        <v>5</v>
      </c>
      <c r="N363" s="9">
        <v>0</v>
      </c>
      <c r="O363" s="9" t="str">
        <f t="shared" si="10"/>
        <v>Poor</v>
      </c>
      <c r="P363" s="9" t="str">
        <f t="shared" si="11"/>
        <v>Medium</v>
      </c>
    </row>
    <row r="364" spans="1:16" x14ac:dyDescent="0.25">
      <c r="A364" s="10" t="s">
        <v>412</v>
      </c>
      <c r="B364" s="11">
        <v>45312</v>
      </c>
      <c r="C364" s="10">
        <v>27</v>
      </c>
      <c r="D364" s="10" t="s">
        <v>9</v>
      </c>
      <c r="E364" s="12">
        <v>310161</v>
      </c>
      <c r="F364" s="10">
        <v>817</v>
      </c>
      <c r="G364" s="12">
        <v>1745116</v>
      </c>
      <c r="H364" s="13">
        <v>15</v>
      </c>
      <c r="I364" s="10">
        <v>60</v>
      </c>
      <c r="J364" s="10" t="s">
        <v>14</v>
      </c>
      <c r="K364" s="14">
        <v>0.53</v>
      </c>
      <c r="L364" s="10" t="s">
        <v>18</v>
      </c>
      <c r="M364" s="10" t="s">
        <v>3</v>
      </c>
      <c r="N364" s="10">
        <v>1</v>
      </c>
      <c r="O364" s="10" t="str">
        <f t="shared" si="10"/>
        <v>Excellent</v>
      </c>
      <c r="P364" s="10" t="str">
        <f t="shared" si="11"/>
        <v>High</v>
      </c>
    </row>
    <row r="365" spans="1:16" x14ac:dyDescent="0.25">
      <c r="A365" s="9" t="s">
        <v>413</v>
      </c>
      <c r="B365" s="15">
        <v>45577</v>
      </c>
      <c r="C365" s="9">
        <v>30</v>
      </c>
      <c r="D365" s="9" t="s">
        <v>9</v>
      </c>
      <c r="E365" s="16">
        <v>554466</v>
      </c>
      <c r="F365" s="9">
        <v>504</v>
      </c>
      <c r="G365" s="16">
        <v>94002</v>
      </c>
      <c r="H365" s="17">
        <v>12</v>
      </c>
      <c r="I365" s="9">
        <v>36</v>
      </c>
      <c r="J365" s="9" t="s">
        <v>10</v>
      </c>
      <c r="K365" s="18">
        <v>0.56999999999999995</v>
      </c>
      <c r="L365" s="9" t="s">
        <v>22</v>
      </c>
      <c r="M365" s="9" t="s">
        <v>5</v>
      </c>
      <c r="N365" s="9">
        <v>0</v>
      </c>
      <c r="O365" s="9" t="str">
        <f t="shared" si="10"/>
        <v>Poor</v>
      </c>
      <c r="P365" s="9" t="str">
        <f t="shared" si="11"/>
        <v>High</v>
      </c>
    </row>
    <row r="366" spans="1:16" x14ac:dyDescent="0.25">
      <c r="A366" s="10" t="s">
        <v>414</v>
      </c>
      <c r="B366" s="11">
        <v>45208</v>
      </c>
      <c r="C366" s="10">
        <v>57</v>
      </c>
      <c r="D366" s="10" t="s">
        <v>17</v>
      </c>
      <c r="E366" s="12">
        <v>1791046</v>
      </c>
      <c r="F366" s="10">
        <v>758</v>
      </c>
      <c r="G366" s="12">
        <v>346706</v>
      </c>
      <c r="H366" s="13">
        <v>9</v>
      </c>
      <c r="I366" s="10">
        <v>36</v>
      </c>
      <c r="J366" s="10" t="s">
        <v>14</v>
      </c>
      <c r="K366" s="14">
        <v>0.16</v>
      </c>
      <c r="L366" s="10" t="s">
        <v>18</v>
      </c>
      <c r="M366" s="10" t="s">
        <v>4</v>
      </c>
      <c r="N366" s="10">
        <v>1</v>
      </c>
      <c r="O366" s="10" t="str">
        <f t="shared" si="10"/>
        <v>Excellent</v>
      </c>
      <c r="P366" s="10" t="str">
        <f t="shared" si="11"/>
        <v>Low</v>
      </c>
    </row>
    <row r="367" spans="1:16" x14ac:dyDescent="0.25">
      <c r="A367" s="9" t="s">
        <v>415</v>
      </c>
      <c r="B367" s="15">
        <v>45458</v>
      </c>
      <c r="C367" s="9">
        <v>21</v>
      </c>
      <c r="D367" s="9" t="s">
        <v>9</v>
      </c>
      <c r="E367" s="16">
        <v>331520</v>
      </c>
      <c r="F367" s="9">
        <v>318</v>
      </c>
      <c r="G367" s="16">
        <v>1481954</v>
      </c>
      <c r="H367" s="17">
        <v>21</v>
      </c>
      <c r="I367" s="9">
        <v>60</v>
      </c>
      <c r="J367" s="9" t="s">
        <v>13</v>
      </c>
      <c r="K367" s="18">
        <v>0.3</v>
      </c>
      <c r="L367" s="9" t="s">
        <v>22</v>
      </c>
      <c r="M367" s="9" t="s">
        <v>2</v>
      </c>
      <c r="N367" s="9">
        <v>0</v>
      </c>
      <c r="O367" s="9" t="str">
        <f t="shared" si="10"/>
        <v>Poor</v>
      </c>
      <c r="P367" s="9" t="str">
        <f t="shared" si="11"/>
        <v>Medium</v>
      </c>
    </row>
    <row r="368" spans="1:16" x14ac:dyDescent="0.25">
      <c r="A368" s="10" t="s">
        <v>416</v>
      </c>
      <c r="B368" s="11">
        <v>45428</v>
      </c>
      <c r="C368" s="10">
        <v>54</v>
      </c>
      <c r="D368" s="10" t="s">
        <v>9</v>
      </c>
      <c r="E368" s="12">
        <v>998873</v>
      </c>
      <c r="F368" s="10">
        <v>308</v>
      </c>
      <c r="G368" s="12">
        <v>620120</v>
      </c>
      <c r="H368" s="13">
        <v>24</v>
      </c>
      <c r="I368" s="10">
        <v>60</v>
      </c>
      <c r="J368" s="10" t="s">
        <v>10</v>
      </c>
      <c r="K368" s="14">
        <v>0.4</v>
      </c>
      <c r="L368" s="10" t="s">
        <v>19</v>
      </c>
      <c r="M368" s="10" t="s">
        <v>2</v>
      </c>
      <c r="N368" s="10">
        <v>0</v>
      </c>
      <c r="O368" s="10" t="str">
        <f t="shared" si="10"/>
        <v>Poor</v>
      </c>
      <c r="P368" s="10" t="str">
        <f t="shared" si="11"/>
        <v>High</v>
      </c>
    </row>
    <row r="369" spans="1:16" x14ac:dyDescent="0.25">
      <c r="A369" s="9" t="s">
        <v>417</v>
      </c>
      <c r="B369" s="15">
        <v>45074</v>
      </c>
      <c r="C369" s="9">
        <v>63</v>
      </c>
      <c r="D369" s="9" t="s">
        <v>16</v>
      </c>
      <c r="E369" s="16">
        <v>321467</v>
      </c>
      <c r="F369" s="9">
        <v>820</v>
      </c>
      <c r="G369" s="16">
        <v>1299176</v>
      </c>
      <c r="H369" s="17">
        <v>20</v>
      </c>
      <c r="I369" s="9">
        <v>60</v>
      </c>
      <c r="J369" s="9" t="s">
        <v>11</v>
      </c>
      <c r="K369" s="18">
        <v>0.33</v>
      </c>
      <c r="L369" s="9" t="s">
        <v>20</v>
      </c>
      <c r="M369" s="9" t="s">
        <v>3</v>
      </c>
      <c r="N369" s="9">
        <v>0</v>
      </c>
      <c r="O369" s="9" t="str">
        <f t="shared" si="10"/>
        <v>Excellent</v>
      </c>
      <c r="P369" s="9" t="str">
        <f t="shared" si="11"/>
        <v>Medium</v>
      </c>
    </row>
    <row r="370" spans="1:16" x14ac:dyDescent="0.25">
      <c r="A370" s="10" t="s">
        <v>418</v>
      </c>
      <c r="B370" s="11">
        <v>45750</v>
      </c>
      <c r="C370" s="10">
        <v>28</v>
      </c>
      <c r="D370" s="10" t="s">
        <v>17</v>
      </c>
      <c r="E370" s="12">
        <v>1263988</v>
      </c>
      <c r="F370" s="10">
        <v>385</v>
      </c>
      <c r="G370" s="12">
        <v>1471538</v>
      </c>
      <c r="H370" s="13">
        <v>15</v>
      </c>
      <c r="I370" s="10">
        <v>36</v>
      </c>
      <c r="J370" s="10" t="s">
        <v>9</v>
      </c>
      <c r="K370" s="14">
        <v>0.45</v>
      </c>
      <c r="L370" s="10" t="s">
        <v>18</v>
      </c>
      <c r="M370" s="10" t="s">
        <v>4</v>
      </c>
      <c r="N370" s="10">
        <v>0</v>
      </c>
      <c r="O370" s="10" t="str">
        <f t="shared" si="10"/>
        <v>Poor</v>
      </c>
      <c r="P370" s="10" t="str">
        <f t="shared" si="11"/>
        <v>High</v>
      </c>
    </row>
    <row r="371" spans="1:16" x14ac:dyDescent="0.25">
      <c r="A371" s="9" t="s">
        <v>419</v>
      </c>
      <c r="B371" s="15">
        <v>45530</v>
      </c>
      <c r="C371" s="9">
        <v>56</v>
      </c>
      <c r="D371" s="9" t="s">
        <v>9</v>
      </c>
      <c r="E371" s="16">
        <v>2063877</v>
      </c>
      <c r="F371" s="9">
        <v>501</v>
      </c>
      <c r="G371" s="16">
        <v>900396</v>
      </c>
      <c r="H371" s="17">
        <v>16</v>
      </c>
      <c r="I371" s="9">
        <v>24</v>
      </c>
      <c r="J371" s="9" t="s">
        <v>14</v>
      </c>
      <c r="K371" s="18">
        <v>0.12</v>
      </c>
      <c r="L371" s="9" t="s">
        <v>22</v>
      </c>
      <c r="M371" s="9" t="s">
        <v>5</v>
      </c>
      <c r="N371" s="9">
        <v>0</v>
      </c>
      <c r="O371" s="9" t="str">
        <f t="shared" si="10"/>
        <v>Poor</v>
      </c>
      <c r="P371" s="9" t="str">
        <f t="shared" si="11"/>
        <v>Low</v>
      </c>
    </row>
    <row r="372" spans="1:16" x14ac:dyDescent="0.25">
      <c r="A372" s="10" t="s">
        <v>420</v>
      </c>
      <c r="B372" s="11">
        <v>45726</v>
      </c>
      <c r="C372" s="10">
        <v>49</v>
      </c>
      <c r="D372" s="10" t="s">
        <v>17</v>
      </c>
      <c r="E372" s="12">
        <v>1612703</v>
      </c>
      <c r="F372" s="10">
        <v>305</v>
      </c>
      <c r="G372" s="12">
        <v>840651</v>
      </c>
      <c r="H372" s="13">
        <v>22</v>
      </c>
      <c r="I372" s="10">
        <v>24</v>
      </c>
      <c r="J372" s="10" t="s">
        <v>13</v>
      </c>
      <c r="K372" s="14">
        <v>0.22</v>
      </c>
      <c r="L372" s="10" t="s">
        <v>21</v>
      </c>
      <c r="M372" s="10" t="s">
        <v>2</v>
      </c>
      <c r="N372" s="10">
        <v>0</v>
      </c>
      <c r="O372" s="10" t="str">
        <f t="shared" si="10"/>
        <v>Poor</v>
      </c>
      <c r="P372" s="10" t="str">
        <f t="shared" si="11"/>
        <v>Medium</v>
      </c>
    </row>
    <row r="373" spans="1:16" x14ac:dyDescent="0.25">
      <c r="A373" s="9" t="s">
        <v>421</v>
      </c>
      <c r="B373" s="15">
        <v>45704</v>
      </c>
      <c r="C373" s="9">
        <v>38</v>
      </c>
      <c r="D373" s="9" t="s">
        <v>9</v>
      </c>
      <c r="E373" s="16">
        <v>429341</v>
      </c>
      <c r="F373" s="9">
        <v>439</v>
      </c>
      <c r="G373" s="16">
        <v>1479459</v>
      </c>
      <c r="H373" s="17">
        <v>6</v>
      </c>
      <c r="I373" s="9">
        <v>12</v>
      </c>
      <c r="J373" s="9" t="s">
        <v>13</v>
      </c>
      <c r="K373" s="18">
        <v>0.19</v>
      </c>
      <c r="L373" s="9" t="s">
        <v>18</v>
      </c>
      <c r="M373" s="9" t="s">
        <v>3</v>
      </c>
      <c r="N373" s="9">
        <v>0</v>
      </c>
      <c r="O373" s="9" t="str">
        <f t="shared" si="10"/>
        <v>Poor</v>
      </c>
      <c r="P373" s="9" t="str">
        <f t="shared" si="11"/>
        <v>Low</v>
      </c>
    </row>
    <row r="374" spans="1:16" x14ac:dyDescent="0.25">
      <c r="A374" s="10" t="s">
        <v>422</v>
      </c>
      <c r="B374" s="11">
        <v>44981</v>
      </c>
      <c r="C374" s="10">
        <v>55</v>
      </c>
      <c r="D374" s="10" t="s">
        <v>17</v>
      </c>
      <c r="E374" s="12">
        <v>1024082</v>
      </c>
      <c r="F374" s="10">
        <v>749</v>
      </c>
      <c r="G374" s="12">
        <v>750265</v>
      </c>
      <c r="H374" s="13">
        <v>13</v>
      </c>
      <c r="I374" s="10">
        <v>36</v>
      </c>
      <c r="J374" s="10" t="s">
        <v>11</v>
      </c>
      <c r="K374" s="14">
        <v>0.28999999999999998</v>
      </c>
      <c r="L374" s="10" t="s">
        <v>22</v>
      </c>
      <c r="M374" s="10" t="s">
        <v>4</v>
      </c>
      <c r="N374" s="10">
        <v>0</v>
      </c>
      <c r="O374" s="10" t="str">
        <f t="shared" si="10"/>
        <v>Excellent</v>
      </c>
      <c r="P374" s="10" t="str">
        <f t="shared" si="11"/>
        <v>Medium</v>
      </c>
    </row>
    <row r="375" spans="1:16" x14ac:dyDescent="0.25">
      <c r="A375" s="9" t="s">
        <v>423</v>
      </c>
      <c r="B375" s="15">
        <v>45416</v>
      </c>
      <c r="C375" s="9">
        <v>56</v>
      </c>
      <c r="D375" s="9" t="s">
        <v>9</v>
      </c>
      <c r="E375" s="16">
        <v>2029038</v>
      </c>
      <c r="F375" s="9">
        <v>676</v>
      </c>
      <c r="G375" s="16">
        <v>426635</v>
      </c>
      <c r="H375" s="17">
        <v>6</v>
      </c>
      <c r="I375" s="9">
        <v>60</v>
      </c>
      <c r="J375" s="9" t="s">
        <v>14</v>
      </c>
      <c r="K375" s="18">
        <v>0.23</v>
      </c>
      <c r="L375" s="9" t="s">
        <v>18</v>
      </c>
      <c r="M375" s="9" t="s">
        <v>5</v>
      </c>
      <c r="N375" s="9">
        <v>0</v>
      </c>
      <c r="O375" s="9" t="str">
        <f t="shared" si="10"/>
        <v>Good</v>
      </c>
      <c r="P375" s="9" t="str">
        <f t="shared" si="11"/>
        <v>Medium</v>
      </c>
    </row>
    <row r="376" spans="1:16" x14ac:dyDescent="0.25">
      <c r="A376" s="10" t="s">
        <v>424</v>
      </c>
      <c r="B376" s="11">
        <v>44970</v>
      </c>
      <c r="C376" s="10">
        <v>39</v>
      </c>
      <c r="D376" s="10" t="s">
        <v>16</v>
      </c>
      <c r="E376" s="12">
        <v>827424</v>
      </c>
      <c r="F376" s="10">
        <v>322</v>
      </c>
      <c r="G376" s="12">
        <v>98770</v>
      </c>
      <c r="H376" s="13">
        <v>14</v>
      </c>
      <c r="I376" s="10">
        <v>60</v>
      </c>
      <c r="J376" s="10" t="s">
        <v>10</v>
      </c>
      <c r="K376" s="14">
        <v>0.4</v>
      </c>
      <c r="L376" s="10" t="s">
        <v>22</v>
      </c>
      <c r="M376" s="10" t="s">
        <v>3</v>
      </c>
      <c r="N376" s="10">
        <v>0</v>
      </c>
      <c r="O376" s="10" t="str">
        <f t="shared" si="10"/>
        <v>Poor</v>
      </c>
      <c r="P376" s="10" t="str">
        <f t="shared" si="11"/>
        <v>High</v>
      </c>
    </row>
    <row r="377" spans="1:16" x14ac:dyDescent="0.25">
      <c r="A377" s="9" t="s">
        <v>425</v>
      </c>
      <c r="B377" s="15">
        <v>45882</v>
      </c>
      <c r="C377" s="9">
        <v>37</v>
      </c>
      <c r="D377" s="9" t="s">
        <v>17</v>
      </c>
      <c r="E377" s="16">
        <v>635033</v>
      </c>
      <c r="F377" s="9">
        <v>575</v>
      </c>
      <c r="G377" s="16">
        <v>1687878</v>
      </c>
      <c r="H377" s="17">
        <v>7</v>
      </c>
      <c r="I377" s="9">
        <v>24</v>
      </c>
      <c r="J377" s="9" t="s">
        <v>12</v>
      </c>
      <c r="K377" s="18">
        <v>0.11</v>
      </c>
      <c r="L377" s="9" t="s">
        <v>18</v>
      </c>
      <c r="M377" s="9" t="s">
        <v>3</v>
      </c>
      <c r="N377" s="9">
        <v>1</v>
      </c>
      <c r="O377" s="9" t="str">
        <f t="shared" si="10"/>
        <v>Poor</v>
      </c>
      <c r="P377" s="9" t="str">
        <f t="shared" si="11"/>
        <v>Low</v>
      </c>
    </row>
    <row r="378" spans="1:16" x14ac:dyDescent="0.25">
      <c r="A378" s="10" t="s">
        <v>426</v>
      </c>
      <c r="B378" s="11">
        <v>45629</v>
      </c>
      <c r="C378" s="10">
        <v>44</v>
      </c>
      <c r="D378" s="10" t="s">
        <v>16</v>
      </c>
      <c r="E378" s="12">
        <v>863918</v>
      </c>
      <c r="F378" s="10">
        <v>367</v>
      </c>
      <c r="G378" s="12">
        <v>109071</v>
      </c>
      <c r="H378" s="13">
        <v>8</v>
      </c>
      <c r="I378" s="10">
        <v>12</v>
      </c>
      <c r="J378" s="10" t="s">
        <v>12</v>
      </c>
      <c r="K378" s="14">
        <v>0.26</v>
      </c>
      <c r="L378" s="10" t="s">
        <v>18</v>
      </c>
      <c r="M378" s="10" t="s">
        <v>2</v>
      </c>
      <c r="N378" s="10">
        <v>0</v>
      </c>
      <c r="O378" s="10" t="str">
        <f t="shared" si="10"/>
        <v>Poor</v>
      </c>
      <c r="P378" s="10" t="str">
        <f t="shared" si="11"/>
        <v>Medium</v>
      </c>
    </row>
    <row r="379" spans="1:16" x14ac:dyDescent="0.25">
      <c r="A379" s="9" t="s">
        <v>427</v>
      </c>
      <c r="B379" s="15">
        <v>44948</v>
      </c>
      <c r="C379" s="9">
        <v>26</v>
      </c>
      <c r="D379" s="9" t="s">
        <v>17</v>
      </c>
      <c r="E379" s="16">
        <v>1989152</v>
      </c>
      <c r="F379" s="9">
        <v>379</v>
      </c>
      <c r="G379" s="16">
        <v>655637</v>
      </c>
      <c r="H379" s="17">
        <v>17</v>
      </c>
      <c r="I379" s="9">
        <v>12</v>
      </c>
      <c r="J379" s="9" t="s">
        <v>12</v>
      </c>
      <c r="K379" s="18">
        <v>0.15</v>
      </c>
      <c r="L379" s="9" t="s">
        <v>20</v>
      </c>
      <c r="M379" s="9" t="s">
        <v>4</v>
      </c>
      <c r="N379" s="9">
        <v>0</v>
      </c>
      <c r="O379" s="9" t="str">
        <f t="shared" si="10"/>
        <v>Poor</v>
      </c>
      <c r="P379" s="9" t="str">
        <f t="shared" si="11"/>
        <v>Low</v>
      </c>
    </row>
    <row r="380" spans="1:16" x14ac:dyDescent="0.25">
      <c r="A380" s="10" t="s">
        <v>428</v>
      </c>
      <c r="B380" s="11">
        <v>45588</v>
      </c>
      <c r="C380" s="10">
        <v>44</v>
      </c>
      <c r="D380" s="10" t="s">
        <v>16</v>
      </c>
      <c r="E380" s="12">
        <v>1144801</v>
      </c>
      <c r="F380" s="10">
        <v>541</v>
      </c>
      <c r="G380" s="12">
        <v>449802</v>
      </c>
      <c r="H380" s="13">
        <v>22</v>
      </c>
      <c r="I380" s="10">
        <v>12</v>
      </c>
      <c r="J380" s="10" t="s">
        <v>10</v>
      </c>
      <c r="K380" s="14">
        <v>0.4</v>
      </c>
      <c r="L380" s="10" t="s">
        <v>21</v>
      </c>
      <c r="M380" s="10" t="s">
        <v>2</v>
      </c>
      <c r="N380" s="10">
        <v>0</v>
      </c>
      <c r="O380" s="10" t="str">
        <f t="shared" si="10"/>
        <v>Poor</v>
      </c>
      <c r="P380" s="10" t="str">
        <f t="shared" si="11"/>
        <v>High</v>
      </c>
    </row>
    <row r="381" spans="1:16" x14ac:dyDescent="0.25">
      <c r="A381" s="9" t="s">
        <v>429</v>
      </c>
      <c r="B381" s="15">
        <v>45352</v>
      </c>
      <c r="C381" s="9">
        <v>24</v>
      </c>
      <c r="D381" s="9" t="s">
        <v>9</v>
      </c>
      <c r="E381" s="16">
        <v>796800</v>
      </c>
      <c r="F381" s="9">
        <v>574</v>
      </c>
      <c r="G381" s="16">
        <v>1441520</v>
      </c>
      <c r="H381" s="17">
        <v>10</v>
      </c>
      <c r="I381" s="9">
        <v>36</v>
      </c>
      <c r="J381" s="9" t="s">
        <v>14</v>
      </c>
      <c r="K381" s="18">
        <v>0.59</v>
      </c>
      <c r="L381" s="9" t="s">
        <v>20</v>
      </c>
      <c r="M381" s="9" t="s">
        <v>3</v>
      </c>
      <c r="N381" s="9">
        <v>1</v>
      </c>
      <c r="O381" s="9" t="str">
        <f t="shared" si="10"/>
        <v>Poor</v>
      </c>
      <c r="P381" s="9" t="str">
        <f t="shared" si="11"/>
        <v>High</v>
      </c>
    </row>
    <row r="382" spans="1:16" x14ac:dyDescent="0.25">
      <c r="A382" s="10" t="s">
        <v>430</v>
      </c>
      <c r="B382" s="11">
        <v>45957</v>
      </c>
      <c r="C382" s="10">
        <v>58</v>
      </c>
      <c r="D382" s="10" t="s">
        <v>9</v>
      </c>
      <c r="E382" s="12">
        <v>2245578</v>
      </c>
      <c r="F382" s="10">
        <v>644</v>
      </c>
      <c r="G382" s="12">
        <v>1816698</v>
      </c>
      <c r="H382" s="13">
        <v>23</v>
      </c>
      <c r="I382" s="10">
        <v>12</v>
      </c>
      <c r="J382" s="10" t="s">
        <v>13</v>
      </c>
      <c r="K382" s="14">
        <v>0.47</v>
      </c>
      <c r="L382" s="10" t="s">
        <v>21</v>
      </c>
      <c r="M382" s="10" t="s">
        <v>4</v>
      </c>
      <c r="N382" s="10">
        <v>0</v>
      </c>
      <c r="O382" s="10" t="str">
        <f t="shared" si="10"/>
        <v>Fair</v>
      </c>
      <c r="P382" s="10" t="str">
        <f t="shared" si="11"/>
        <v>High</v>
      </c>
    </row>
    <row r="383" spans="1:16" x14ac:dyDescent="0.25">
      <c r="A383" s="9" t="s">
        <v>431</v>
      </c>
      <c r="B383" s="15">
        <v>45804</v>
      </c>
      <c r="C383" s="9">
        <v>46</v>
      </c>
      <c r="D383" s="9" t="s">
        <v>17</v>
      </c>
      <c r="E383" s="16">
        <v>396482</v>
      </c>
      <c r="F383" s="9">
        <v>640</v>
      </c>
      <c r="G383" s="16">
        <v>1998209</v>
      </c>
      <c r="H383" s="17">
        <v>18</v>
      </c>
      <c r="I383" s="9">
        <v>36</v>
      </c>
      <c r="J383" s="9" t="s">
        <v>9</v>
      </c>
      <c r="K383" s="18">
        <v>0.31</v>
      </c>
      <c r="L383" s="9" t="s">
        <v>18</v>
      </c>
      <c r="M383" s="9" t="s">
        <v>5</v>
      </c>
      <c r="N383" s="9">
        <v>0</v>
      </c>
      <c r="O383" s="9" t="str">
        <f t="shared" si="10"/>
        <v>Fair</v>
      </c>
      <c r="P383" s="9" t="str">
        <f t="shared" si="11"/>
        <v>Medium</v>
      </c>
    </row>
    <row r="384" spans="1:16" x14ac:dyDescent="0.25">
      <c r="A384" s="10" t="s">
        <v>432</v>
      </c>
      <c r="B384" s="11">
        <v>45934</v>
      </c>
      <c r="C384" s="10">
        <v>51</v>
      </c>
      <c r="D384" s="10" t="s">
        <v>16</v>
      </c>
      <c r="E384" s="12">
        <v>2292705</v>
      </c>
      <c r="F384" s="10">
        <v>352</v>
      </c>
      <c r="G384" s="12">
        <v>931638</v>
      </c>
      <c r="H384" s="13">
        <v>9</v>
      </c>
      <c r="I384" s="10">
        <v>12</v>
      </c>
      <c r="J384" s="10" t="s">
        <v>10</v>
      </c>
      <c r="K384" s="14">
        <v>0.25</v>
      </c>
      <c r="L384" s="10" t="s">
        <v>18</v>
      </c>
      <c r="M384" s="10" t="s">
        <v>3</v>
      </c>
      <c r="N384" s="10">
        <v>0</v>
      </c>
      <c r="O384" s="10" t="str">
        <f t="shared" si="10"/>
        <v>Poor</v>
      </c>
      <c r="P384" s="10" t="str">
        <f t="shared" si="11"/>
        <v>Medium</v>
      </c>
    </row>
    <row r="385" spans="1:16" x14ac:dyDescent="0.25">
      <c r="A385" s="9" t="s">
        <v>433</v>
      </c>
      <c r="B385" s="15">
        <v>45315</v>
      </c>
      <c r="C385" s="9">
        <v>53</v>
      </c>
      <c r="D385" s="9" t="s">
        <v>16</v>
      </c>
      <c r="E385" s="16">
        <v>1746191</v>
      </c>
      <c r="F385" s="9">
        <v>439</v>
      </c>
      <c r="G385" s="16">
        <v>350613</v>
      </c>
      <c r="H385" s="17">
        <v>22</v>
      </c>
      <c r="I385" s="9">
        <v>12</v>
      </c>
      <c r="J385" s="9" t="s">
        <v>14</v>
      </c>
      <c r="K385" s="18">
        <v>0.54</v>
      </c>
      <c r="L385" s="9" t="s">
        <v>21</v>
      </c>
      <c r="M385" s="9" t="s">
        <v>2</v>
      </c>
      <c r="N385" s="9">
        <v>1</v>
      </c>
      <c r="O385" s="9" t="str">
        <f t="shared" si="10"/>
        <v>Poor</v>
      </c>
      <c r="P385" s="9" t="str">
        <f t="shared" si="11"/>
        <v>High</v>
      </c>
    </row>
    <row r="386" spans="1:16" x14ac:dyDescent="0.25">
      <c r="A386" s="10" t="s">
        <v>434</v>
      </c>
      <c r="B386" s="11">
        <v>44965</v>
      </c>
      <c r="C386" s="10">
        <v>56</v>
      </c>
      <c r="D386" s="10" t="s">
        <v>16</v>
      </c>
      <c r="E386" s="12">
        <v>1337853</v>
      </c>
      <c r="F386" s="10">
        <v>529</v>
      </c>
      <c r="G386" s="12">
        <v>1211263</v>
      </c>
      <c r="H386" s="13">
        <v>7</v>
      </c>
      <c r="I386" s="10">
        <v>12</v>
      </c>
      <c r="J386" s="10" t="s">
        <v>12</v>
      </c>
      <c r="K386" s="14">
        <v>0.5</v>
      </c>
      <c r="L386" s="10" t="s">
        <v>22</v>
      </c>
      <c r="M386" s="10" t="s">
        <v>5</v>
      </c>
      <c r="N386" s="10">
        <v>1</v>
      </c>
      <c r="O386" s="10" t="str">
        <f t="shared" ref="O386:O449" si="12">IF(F386&lt;580,"Poor",IF(F386&lt;670,"Fair",IF(F386&lt;740,"Good","Excellent")))</f>
        <v>Poor</v>
      </c>
      <c r="P386" s="10" t="str">
        <f t="shared" ref="P386:P449" si="13">IF(K386&lt;0.2,"Low",IF(K386&lt;0.4,"Medium","High"))</f>
        <v>High</v>
      </c>
    </row>
    <row r="387" spans="1:16" x14ac:dyDescent="0.25">
      <c r="A387" s="9" t="s">
        <v>435</v>
      </c>
      <c r="B387" s="15">
        <v>45050</v>
      </c>
      <c r="C387" s="9">
        <v>56</v>
      </c>
      <c r="D387" s="9" t="s">
        <v>17</v>
      </c>
      <c r="E387" s="16">
        <v>1213042</v>
      </c>
      <c r="F387" s="9">
        <v>751</v>
      </c>
      <c r="G387" s="16">
        <v>162992</v>
      </c>
      <c r="H387" s="17">
        <v>16</v>
      </c>
      <c r="I387" s="9">
        <v>36</v>
      </c>
      <c r="J387" s="9" t="s">
        <v>12</v>
      </c>
      <c r="K387" s="18">
        <v>0.48</v>
      </c>
      <c r="L387" s="9" t="s">
        <v>18</v>
      </c>
      <c r="M387" s="9" t="s">
        <v>3</v>
      </c>
      <c r="N387" s="9">
        <v>1</v>
      </c>
      <c r="O387" s="9" t="str">
        <f t="shared" si="12"/>
        <v>Excellent</v>
      </c>
      <c r="P387" s="9" t="str">
        <f t="shared" si="13"/>
        <v>High</v>
      </c>
    </row>
    <row r="388" spans="1:16" x14ac:dyDescent="0.25">
      <c r="A388" s="10" t="s">
        <v>436</v>
      </c>
      <c r="B388" s="11">
        <v>45878</v>
      </c>
      <c r="C388" s="10">
        <v>31</v>
      </c>
      <c r="D388" s="10" t="s">
        <v>17</v>
      </c>
      <c r="E388" s="12">
        <v>2306314</v>
      </c>
      <c r="F388" s="10">
        <v>757</v>
      </c>
      <c r="G388" s="12">
        <v>435739</v>
      </c>
      <c r="H388" s="13">
        <v>6</v>
      </c>
      <c r="I388" s="10">
        <v>24</v>
      </c>
      <c r="J388" s="10" t="s">
        <v>14</v>
      </c>
      <c r="K388" s="14">
        <v>0.36</v>
      </c>
      <c r="L388" s="10" t="s">
        <v>20</v>
      </c>
      <c r="M388" s="10" t="s">
        <v>3</v>
      </c>
      <c r="N388" s="10">
        <v>1</v>
      </c>
      <c r="O388" s="10" t="str">
        <f t="shared" si="12"/>
        <v>Excellent</v>
      </c>
      <c r="P388" s="10" t="str">
        <f t="shared" si="13"/>
        <v>Medium</v>
      </c>
    </row>
    <row r="389" spans="1:16" x14ac:dyDescent="0.25">
      <c r="A389" s="9" t="s">
        <v>437</v>
      </c>
      <c r="B389" s="15">
        <v>45682</v>
      </c>
      <c r="C389" s="9">
        <v>44</v>
      </c>
      <c r="D389" s="9" t="s">
        <v>16</v>
      </c>
      <c r="E389" s="16">
        <v>1477864</v>
      </c>
      <c r="F389" s="9">
        <v>694</v>
      </c>
      <c r="G389" s="16">
        <v>1356465</v>
      </c>
      <c r="H389" s="17">
        <v>12</v>
      </c>
      <c r="I389" s="9">
        <v>60</v>
      </c>
      <c r="J389" s="9" t="s">
        <v>9</v>
      </c>
      <c r="K389" s="18">
        <v>0.34</v>
      </c>
      <c r="L389" s="9" t="s">
        <v>21</v>
      </c>
      <c r="M389" s="9" t="s">
        <v>3</v>
      </c>
      <c r="N389" s="9">
        <v>0</v>
      </c>
      <c r="O389" s="9" t="str">
        <f t="shared" si="12"/>
        <v>Good</v>
      </c>
      <c r="P389" s="9" t="str">
        <f t="shared" si="13"/>
        <v>Medium</v>
      </c>
    </row>
    <row r="390" spans="1:16" x14ac:dyDescent="0.25">
      <c r="A390" s="10" t="s">
        <v>438</v>
      </c>
      <c r="B390" s="11">
        <v>45319</v>
      </c>
      <c r="C390" s="10">
        <v>25</v>
      </c>
      <c r="D390" s="10" t="s">
        <v>17</v>
      </c>
      <c r="E390" s="12">
        <v>848677</v>
      </c>
      <c r="F390" s="10">
        <v>462</v>
      </c>
      <c r="G390" s="12">
        <v>910402</v>
      </c>
      <c r="H390" s="13">
        <v>13</v>
      </c>
      <c r="I390" s="10">
        <v>60</v>
      </c>
      <c r="J390" s="10" t="s">
        <v>10</v>
      </c>
      <c r="K390" s="14">
        <v>0.51</v>
      </c>
      <c r="L390" s="10" t="s">
        <v>19</v>
      </c>
      <c r="M390" s="10" t="s">
        <v>2</v>
      </c>
      <c r="N390" s="10">
        <v>0</v>
      </c>
      <c r="O390" s="10" t="str">
        <f t="shared" si="12"/>
        <v>Poor</v>
      </c>
      <c r="P390" s="10" t="str">
        <f t="shared" si="13"/>
        <v>High</v>
      </c>
    </row>
    <row r="391" spans="1:16" x14ac:dyDescent="0.25">
      <c r="A391" s="9" t="s">
        <v>439</v>
      </c>
      <c r="B391" s="15">
        <v>45246</v>
      </c>
      <c r="C391" s="9">
        <v>54</v>
      </c>
      <c r="D391" s="9" t="s">
        <v>9</v>
      </c>
      <c r="E391" s="16">
        <v>693322</v>
      </c>
      <c r="F391" s="9">
        <v>649</v>
      </c>
      <c r="G391" s="16">
        <v>261070</v>
      </c>
      <c r="H391" s="17">
        <v>15</v>
      </c>
      <c r="I391" s="9">
        <v>36</v>
      </c>
      <c r="J391" s="9" t="s">
        <v>14</v>
      </c>
      <c r="K391" s="18">
        <v>0.13</v>
      </c>
      <c r="L391" s="9" t="s">
        <v>19</v>
      </c>
      <c r="M391" s="9" t="s">
        <v>4</v>
      </c>
      <c r="N391" s="9">
        <v>1</v>
      </c>
      <c r="O391" s="9" t="str">
        <f t="shared" si="12"/>
        <v>Fair</v>
      </c>
      <c r="P391" s="9" t="str">
        <f t="shared" si="13"/>
        <v>Low</v>
      </c>
    </row>
    <row r="392" spans="1:16" x14ac:dyDescent="0.25">
      <c r="A392" s="10" t="s">
        <v>440</v>
      </c>
      <c r="B392" s="11">
        <v>45195</v>
      </c>
      <c r="C392" s="10">
        <v>27</v>
      </c>
      <c r="D392" s="10" t="s">
        <v>9</v>
      </c>
      <c r="E392" s="12">
        <v>2089625</v>
      </c>
      <c r="F392" s="10">
        <v>703</v>
      </c>
      <c r="G392" s="12">
        <v>941940</v>
      </c>
      <c r="H392" s="13">
        <v>16</v>
      </c>
      <c r="I392" s="10">
        <v>36</v>
      </c>
      <c r="J392" s="10" t="s">
        <v>9</v>
      </c>
      <c r="K392" s="14">
        <v>0.26</v>
      </c>
      <c r="L392" s="10" t="s">
        <v>19</v>
      </c>
      <c r="M392" s="10" t="s">
        <v>2</v>
      </c>
      <c r="N392" s="10">
        <v>0</v>
      </c>
      <c r="O392" s="10" t="str">
        <f t="shared" si="12"/>
        <v>Good</v>
      </c>
      <c r="P392" s="10" t="str">
        <f t="shared" si="13"/>
        <v>Medium</v>
      </c>
    </row>
    <row r="393" spans="1:16" x14ac:dyDescent="0.25">
      <c r="A393" s="9" t="s">
        <v>441</v>
      </c>
      <c r="B393" s="15">
        <v>45561</v>
      </c>
      <c r="C393" s="9">
        <v>39</v>
      </c>
      <c r="D393" s="9" t="s">
        <v>16</v>
      </c>
      <c r="E393" s="16">
        <v>1065654</v>
      </c>
      <c r="F393" s="9">
        <v>385</v>
      </c>
      <c r="G393" s="16">
        <v>1059900</v>
      </c>
      <c r="H393" s="17">
        <v>11</v>
      </c>
      <c r="I393" s="9">
        <v>12</v>
      </c>
      <c r="J393" s="9" t="s">
        <v>10</v>
      </c>
      <c r="K393" s="18">
        <v>0.41</v>
      </c>
      <c r="L393" s="9" t="s">
        <v>18</v>
      </c>
      <c r="M393" s="9" t="s">
        <v>2</v>
      </c>
      <c r="N393" s="9">
        <v>0</v>
      </c>
      <c r="O393" s="9" t="str">
        <f t="shared" si="12"/>
        <v>Poor</v>
      </c>
      <c r="P393" s="9" t="str">
        <f t="shared" si="13"/>
        <v>High</v>
      </c>
    </row>
    <row r="394" spans="1:16" x14ac:dyDescent="0.25">
      <c r="A394" s="10" t="s">
        <v>442</v>
      </c>
      <c r="B394" s="11">
        <v>45526</v>
      </c>
      <c r="C394" s="10">
        <v>63</v>
      </c>
      <c r="D394" s="10" t="s">
        <v>9</v>
      </c>
      <c r="E394" s="12">
        <v>1625416</v>
      </c>
      <c r="F394" s="10">
        <v>366</v>
      </c>
      <c r="G394" s="12">
        <v>1999110</v>
      </c>
      <c r="H394" s="13">
        <v>20</v>
      </c>
      <c r="I394" s="10">
        <v>24</v>
      </c>
      <c r="J394" s="10" t="s">
        <v>11</v>
      </c>
      <c r="K394" s="14">
        <v>0.54</v>
      </c>
      <c r="L394" s="10" t="s">
        <v>22</v>
      </c>
      <c r="M394" s="10" t="s">
        <v>2</v>
      </c>
      <c r="N394" s="10">
        <v>1</v>
      </c>
      <c r="O394" s="10" t="str">
        <f t="shared" si="12"/>
        <v>Poor</v>
      </c>
      <c r="P394" s="10" t="str">
        <f t="shared" si="13"/>
        <v>High</v>
      </c>
    </row>
    <row r="395" spans="1:16" x14ac:dyDescent="0.25">
      <c r="A395" s="9" t="s">
        <v>443</v>
      </c>
      <c r="B395" s="15">
        <v>45463</v>
      </c>
      <c r="C395" s="9">
        <v>27</v>
      </c>
      <c r="D395" s="9" t="s">
        <v>9</v>
      </c>
      <c r="E395" s="16">
        <v>2370102</v>
      </c>
      <c r="F395" s="9">
        <v>459</v>
      </c>
      <c r="G395" s="16">
        <v>1349309</v>
      </c>
      <c r="H395" s="17">
        <v>16</v>
      </c>
      <c r="I395" s="9">
        <v>60</v>
      </c>
      <c r="J395" s="9" t="s">
        <v>10</v>
      </c>
      <c r="K395" s="18">
        <v>0.53</v>
      </c>
      <c r="L395" s="9" t="s">
        <v>19</v>
      </c>
      <c r="M395" s="9" t="s">
        <v>3</v>
      </c>
      <c r="N395" s="9">
        <v>1</v>
      </c>
      <c r="O395" s="9" t="str">
        <f t="shared" si="12"/>
        <v>Poor</v>
      </c>
      <c r="P395" s="9" t="str">
        <f t="shared" si="13"/>
        <v>High</v>
      </c>
    </row>
    <row r="396" spans="1:16" x14ac:dyDescent="0.25">
      <c r="A396" s="10" t="s">
        <v>444</v>
      </c>
      <c r="B396" s="11">
        <v>45592</v>
      </c>
      <c r="C396" s="10">
        <v>21</v>
      </c>
      <c r="D396" s="10" t="s">
        <v>16</v>
      </c>
      <c r="E396" s="12">
        <v>342237</v>
      </c>
      <c r="F396" s="10">
        <v>645</v>
      </c>
      <c r="G396" s="12">
        <v>1405508</v>
      </c>
      <c r="H396" s="13">
        <v>24</v>
      </c>
      <c r="I396" s="10">
        <v>60</v>
      </c>
      <c r="J396" s="10" t="s">
        <v>11</v>
      </c>
      <c r="K396" s="14">
        <v>0.3</v>
      </c>
      <c r="L396" s="10" t="s">
        <v>18</v>
      </c>
      <c r="M396" s="10" t="s">
        <v>5</v>
      </c>
      <c r="N396" s="10">
        <v>0</v>
      </c>
      <c r="O396" s="10" t="str">
        <f t="shared" si="12"/>
        <v>Fair</v>
      </c>
      <c r="P396" s="10" t="str">
        <f t="shared" si="13"/>
        <v>Medium</v>
      </c>
    </row>
    <row r="397" spans="1:16" x14ac:dyDescent="0.25">
      <c r="A397" s="9" t="s">
        <v>445</v>
      </c>
      <c r="B397" s="15">
        <v>45589</v>
      </c>
      <c r="C397" s="9">
        <v>61</v>
      </c>
      <c r="D397" s="9" t="s">
        <v>9</v>
      </c>
      <c r="E397" s="16">
        <v>1276714</v>
      </c>
      <c r="F397" s="9">
        <v>609</v>
      </c>
      <c r="G397" s="16">
        <v>1190188</v>
      </c>
      <c r="H397" s="17">
        <v>13</v>
      </c>
      <c r="I397" s="9">
        <v>12</v>
      </c>
      <c r="J397" s="9" t="s">
        <v>14</v>
      </c>
      <c r="K397" s="18">
        <v>0.52</v>
      </c>
      <c r="L397" s="9" t="s">
        <v>21</v>
      </c>
      <c r="M397" s="9" t="s">
        <v>5</v>
      </c>
      <c r="N397" s="9">
        <v>0</v>
      </c>
      <c r="O397" s="9" t="str">
        <f t="shared" si="12"/>
        <v>Fair</v>
      </c>
      <c r="P397" s="9" t="str">
        <f t="shared" si="13"/>
        <v>High</v>
      </c>
    </row>
    <row r="398" spans="1:16" x14ac:dyDescent="0.25">
      <c r="A398" s="10" t="s">
        <v>446</v>
      </c>
      <c r="B398" s="11">
        <v>45936</v>
      </c>
      <c r="C398" s="10">
        <v>44</v>
      </c>
      <c r="D398" s="10" t="s">
        <v>16</v>
      </c>
      <c r="E398" s="12">
        <v>870710</v>
      </c>
      <c r="F398" s="10">
        <v>731</v>
      </c>
      <c r="G398" s="12">
        <v>81954</v>
      </c>
      <c r="H398" s="13">
        <v>20</v>
      </c>
      <c r="I398" s="10">
        <v>36</v>
      </c>
      <c r="J398" s="10" t="s">
        <v>9</v>
      </c>
      <c r="K398" s="14">
        <v>0.43</v>
      </c>
      <c r="L398" s="10" t="s">
        <v>22</v>
      </c>
      <c r="M398" s="10" t="s">
        <v>3</v>
      </c>
      <c r="N398" s="10">
        <v>0</v>
      </c>
      <c r="O398" s="10" t="str">
        <f t="shared" si="12"/>
        <v>Good</v>
      </c>
      <c r="P398" s="10" t="str">
        <f t="shared" si="13"/>
        <v>High</v>
      </c>
    </row>
    <row r="399" spans="1:16" x14ac:dyDescent="0.25">
      <c r="A399" s="9" t="s">
        <v>447</v>
      </c>
      <c r="B399" s="15">
        <v>45031</v>
      </c>
      <c r="C399" s="9">
        <v>52</v>
      </c>
      <c r="D399" s="9" t="s">
        <v>16</v>
      </c>
      <c r="E399" s="16">
        <v>1885521</v>
      </c>
      <c r="F399" s="9">
        <v>692</v>
      </c>
      <c r="G399" s="16">
        <v>1532786</v>
      </c>
      <c r="H399" s="17">
        <v>17</v>
      </c>
      <c r="I399" s="9">
        <v>12</v>
      </c>
      <c r="J399" s="9" t="s">
        <v>12</v>
      </c>
      <c r="K399" s="18">
        <v>0.52</v>
      </c>
      <c r="L399" s="9" t="s">
        <v>21</v>
      </c>
      <c r="M399" s="9" t="s">
        <v>4</v>
      </c>
      <c r="N399" s="9">
        <v>0</v>
      </c>
      <c r="O399" s="9" t="str">
        <f t="shared" si="12"/>
        <v>Good</v>
      </c>
      <c r="P399" s="9" t="str">
        <f t="shared" si="13"/>
        <v>High</v>
      </c>
    </row>
    <row r="400" spans="1:16" x14ac:dyDescent="0.25">
      <c r="A400" s="10" t="s">
        <v>448</v>
      </c>
      <c r="B400" s="11">
        <v>45717</v>
      </c>
      <c r="C400" s="10">
        <v>54</v>
      </c>
      <c r="D400" s="10" t="s">
        <v>16</v>
      </c>
      <c r="E400" s="12">
        <v>716521</v>
      </c>
      <c r="F400" s="10">
        <v>738</v>
      </c>
      <c r="G400" s="12">
        <v>880675</v>
      </c>
      <c r="H400" s="13">
        <v>21</v>
      </c>
      <c r="I400" s="10">
        <v>36</v>
      </c>
      <c r="J400" s="10" t="s">
        <v>12</v>
      </c>
      <c r="K400" s="14">
        <v>0.56999999999999995</v>
      </c>
      <c r="L400" s="10" t="s">
        <v>20</v>
      </c>
      <c r="M400" s="10" t="s">
        <v>2</v>
      </c>
      <c r="N400" s="10">
        <v>0</v>
      </c>
      <c r="O400" s="10" t="str">
        <f t="shared" si="12"/>
        <v>Good</v>
      </c>
      <c r="P400" s="10" t="str">
        <f t="shared" si="13"/>
        <v>High</v>
      </c>
    </row>
    <row r="401" spans="1:16" x14ac:dyDescent="0.25">
      <c r="A401" s="9" t="s">
        <v>449</v>
      </c>
      <c r="B401" s="15">
        <v>45221</v>
      </c>
      <c r="C401" s="9">
        <v>24</v>
      </c>
      <c r="D401" s="9" t="s">
        <v>9</v>
      </c>
      <c r="E401" s="16">
        <v>2294186</v>
      </c>
      <c r="F401" s="9">
        <v>455</v>
      </c>
      <c r="G401" s="16">
        <v>1914186</v>
      </c>
      <c r="H401" s="17">
        <v>8</v>
      </c>
      <c r="I401" s="9">
        <v>12</v>
      </c>
      <c r="J401" s="9" t="s">
        <v>9</v>
      </c>
      <c r="K401" s="18">
        <v>0.28999999999999998</v>
      </c>
      <c r="L401" s="9" t="s">
        <v>20</v>
      </c>
      <c r="M401" s="9" t="s">
        <v>3</v>
      </c>
      <c r="N401" s="9">
        <v>0</v>
      </c>
      <c r="O401" s="9" t="str">
        <f t="shared" si="12"/>
        <v>Poor</v>
      </c>
      <c r="P401" s="9" t="str">
        <f t="shared" si="13"/>
        <v>Medium</v>
      </c>
    </row>
    <row r="402" spans="1:16" x14ac:dyDescent="0.25">
      <c r="A402" s="10" t="s">
        <v>450</v>
      </c>
      <c r="B402" s="11">
        <v>45843</v>
      </c>
      <c r="C402" s="10">
        <v>59</v>
      </c>
      <c r="D402" s="10" t="s">
        <v>16</v>
      </c>
      <c r="E402" s="12">
        <v>1499878</v>
      </c>
      <c r="F402" s="10">
        <v>548</v>
      </c>
      <c r="G402" s="12">
        <v>1919741</v>
      </c>
      <c r="H402" s="13">
        <v>14</v>
      </c>
      <c r="I402" s="10">
        <v>12</v>
      </c>
      <c r="J402" s="10" t="s">
        <v>14</v>
      </c>
      <c r="K402" s="14">
        <v>0.54</v>
      </c>
      <c r="L402" s="10" t="s">
        <v>18</v>
      </c>
      <c r="M402" s="10" t="s">
        <v>2</v>
      </c>
      <c r="N402" s="10">
        <v>1</v>
      </c>
      <c r="O402" s="10" t="str">
        <f t="shared" si="12"/>
        <v>Poor</v>
      </c>
      <c r="P402" s="10" t="str">
        <f t="shared" si="13"/>
        <v>High</v>
      </c>
    </row>
    <row r="403" spans="1:16" x14ac:dyDescent="0.25">
      <c r="A403" s="9" t="s">
        <v>451</v>
      </c>
      <c r="B403" s="15">
        <v>45802</v>
      </c>
      <c r="C403" s="9">
        <v>36</v>
      </c>
      <c r="D403" s="9" t="s">
        <v>16</v>
      </c>
      <c r="E403" s="16">
        <v>718423</v>
      </c>
      <c r="F403" s="9">
        <v>639</v>
      </c>
      <c r="G403" s="16">
        <v>470122</v>
      </c>
      <c r="H403" s="17">
        <v>7</v>
      </c>
      <c r="I403" s="9">
        <v>36</v>
      </c>
      <c r="J403" s="9" t="s">
        <v>14</v>
      </c>
      <c r="K403" s="18">
        <v>0.59</v>
      </c>
      <c r="L403" s="9" t="s">
        <v>19</v>
      </c>
      <c r="M403" s="9" t="s">
        <v>2</v>
      </c>
      <c r="N403" s="9">
        <v>0</v>
      </c>
      <c r="O403" s="9" t="str">
        <f t="shared" si="12"/>
        <v>Fair</v>
      </c>
      <c r="P403" s="9" t="str">
        <f t="shared" si="13"/>
        <v>High</v>
      </c>
    </row>
    <row r="404" spans="1:16" x14ac:dyDescent="0.25">
      <c r="A404" s="10" t="s">
        <v>452</v>
      </c>
      <c r="B404" s="11">
        <v>44992</v>
      </c>
      <c r="C404" s="10">
        <v>23</v>
      </c>
      <c r="D404" s="10" t="s">
        <v>17</v>
      </c>
      <c r="E404" s="12">
        <v>948918</v>
      </c>
      <c r="F404" s="10">
        <v>713</v>
      </c>
      <c r="G404" s="12">
        <v>200651</v>
      </c>
      <c r="H404" s="13">
        <v>15</v>
      </c>
      <c r="I404" s="10">
        <v>24</v>
      </c>
      <c r="J404" s="10" t="s">
        <v>9</v>
      </c>
      <c r="K404" s="14">
        <v>0.56000000000000005</v>
      </c>
      <c r="L404" s="10" t="s">
        <v>20</v>
      </c>
      <c r="M404" s="10" t="s">
        <v>4</v>
      </c>
      <c r="N404" s="10">
        <v>0</v>
      </c>
      <c r="O404" s="10" t="str">
        <f t="shared" si="12"/>
        <v>Good</v>
      </c>
      <c r="P404" s="10" t="str">
        <f t="shared" si="13"/>
        <v>High</v>
      </c>
    </row>
    <row r="405" spans="1:16" x14ac:dyDescent="0.25">
      <c r="A405" s="9" t="s">
        <v>453</v>
      </c>
      <c r="B405" s="15">
        <v>45750</v>
      </c>
      <c r="C405" s="9">
        <v>33</v>
      </c>
      <c r="D405" s="9" t="s">
        <v>16</v>
      </c>
      <c r="E405" s="16">
        <v>1078176</v>
      </c>
      <c r="F405" s="9">
        <v>523</v>
      </c>
      <c r="G405" s="16">
        <v>595789</v>
      </c>
      <c r="H405" s="17">
        <v>21</v>
      </c>
      <c r="I405" s="9">
        <v>24</v>
      </c>
      <c r="J405" s="9" t="s">
        <v>9</v>
      </c>
      <c r="K405" s="18">
        <v>0.28999999999999998</v>
      </c>
      <c r="L405" s="9" t="s">
        <v>18</v>
      </c>
      <c r="M405" s="9" t="s">
        <v>3</v>
      </c>
      <c r="N405" s="9">
        <v>1</v>
      </c>
      <c r="O405" s="9" t="str">
        <f t="shared" si="12"/>
        <v>Poor</v>
      </c>
      <c r="P405" s="9" t="str">
        <f t="shared" si="13"/>
        <v>Medium</v>
      </c>
    </row>
    <row r="406" spans="1:16" x14ac:dyDescent="0.25">
      <c r="A406" s="10" t="s">
        <v>454</v>
      </c>
      <c r="B406" s="11">
        <v>45295</v>
      </c>
      <c r="C406" s="10">
        <v>61</v>
      </c>
      <c r="D406" s="10" t="s">
        <v>17</v>
      </c>
      <c r="E406" s="12">
        <v>2062568</v>
      </c>
      <c r="F406" s="10">
        <v>539</v>
      </c>
      <c r="G406" s="12">
        <v>842460</v>
      </c>
      <c r="H406" s="13">
        <v>6</v>
      </c>
      <c r="I406" s="10">
        <v>60</v>
      </c>
      <c r="J406" s="10" t="s">
        <v>12</v>
      </c>
      <c r="K406" s="14">
        <v>0.13</v>
      </c>
      <c r="L406" s="10" t="s">
        <v>18</v>
      </c>
      <c r="M406" s="10" t="s">
        <v>2</v>
      </c>
      <c r="N406" s="10">
        <v>0</v>
      </c>
      <c r="O406" s="10" t="str">
        <f t="shared" si="12"/>
        <v>Poor</v>
      </c>
      <c r="P406" s="10" t="str">
        <f t="shared" si="13"/>
        <v>Low</v>
      </c>
    </row>
    <row r="407" spans="1:16" x14ac:dyDescent="0.25">
      <c r="A407" s="9" t="s">
        <v>455</v>
      </c>
      <c r="B407" s="15">
        <v>45207</v>
      </c>
      <c r="C407" s="9">
        <v>34</v>
      </c>
      <c r="D407" s="9" t="s">
        <v>16</v>
      </c>
      <c r="E407" s="16">
        <v>1122668</v>
      </c>
      <c r="F407" s="9">
        <v>378</v>
      </c>
      <c r="G407" s="16">
        <v>673625</v>
      </c>
      <c r="H407" s="17">
        <v>23</v>
      </c>
      <c r="I407" s="9">
        <v>24</v>
      </c>
      <c r="J407" s="9" t="s">
        <v>14</v>
      </c>
      <c r="K407" s="18">
        <v>0.26</v>
      </c>
      <c r="L407" s="9" t="s">
        <v>22</v>
      </c>
      <c r="M407" s="9" t="s">
        <v>5</v>
      </c>
      <c r="N407" s="9">
        <v>0</v>
      </c>
      <c r="O407" s="9" t="str">
        <f t="shared" si="12"/>
        <v>Poor</v>
      </c>
      <c r="P407" s="9" t="str">
        <f t="shared" si="13"/>
        <v>Medium</v>
      </c>
    </row>
    <row r="408" spans="1:16" x14ac:dyDescent="0.25">
      <c r="A408" s="10" t="s">
        <v>456</v>
      </c>
      <c r="B408" s="11">
        <v>45623</v>
      </c>
      <c r="C408" s="10">
        <v>30</v>
      </c>
      <c r="D408" s="10" t="s">
        <v>17</v>
      </c>
      <c r="E408" s="12">
        <v>699329</v>
      </c>
      <c r="F408" s="10">
        <v>426</v>
      </c>
      <c r="G408" s="12">
        <v>989047</v>
      </c>
      <c r="H408" s="13">
        <v>24</v>
      </c>
      <c r="I408" s="10">
        <v>60</v>
      </c>
      <c r="J408" s="10" t="s">
        <v>10</v>
      </c>
      <c r="K408" s="14">
        <v>0.44</v>
      </c>
      <c r="L408" s="10" t="s">
        <v>18</v>
      </c>
      <c r="M408" s="10" t="s">
        <v>4</v>
      </c>
      <c r="N408" s="10">
        <v>0</v>
      </c>
      <c r="O408" s="10" t="str">
        <f t="shared" si="12"/>
        <v>Poor</v>
      </c>
      <c r="P408" s="10" t="str">
        <f t="shared" si="13"/>
        <v>High</v>
      </c>
    </row>
    <row r="409" spans="1:16" x14ac:dyDescent="0.25">
      <c r="A409" s="9" t="s">
        <v>457</v>
      </c>
      <c r="B409" s="15">
        <v>44973</v>
      </c>
      <c r="C409" s="9">
        <v>31</v>
      </c>
      <c r="D409" s="9" t="s">
        <v>17</v>
      </c>
      <c r="E409" s="16">
        <v>1651313</v>
      </c>
      <c r="F409" s="9">
        <v>614</v>
      </c>
      <c r="G409" s="16">
        <v>1624206</v>
      </c>
      <c r="H409" s="17">
        <v>16</v>
      </c>
      <c r="I409" s="9">
        <v>36</v>
      </c>
      <c r="J409" s="9" t="s">
        <v>9</v>
      </c>
      <c r="K409" s="18">
        <v>0.14000000000000001</v>
      </c>
      <c r="L409" s="9" t="s">
        <v>20</v>
      </c>
      <c r="M409" s="9" t="s">
        <v>3</v>
      </c>
      <c r="N409" s="9">
        <v>0</v>
      </c>
      <c r="O409" s="9" t="str">
        <f t="shared" si="12"/>
        <v>Fair</v>
      </c>
      <c r="P409" s="9" t="str">
        <f t="shared" si="13"/>
        <v>Low</v>
      </c>
    </row>
    <row r="410" spans="1:16" x14ac:dyDescent="0.25">
      <c r="A410" s="10" t="s">
        <v>458</v>
      </c>
      <c r="B410" s="11">
        <v>45163</v>
      </c>
      <c r="C410" s="10">
        <v>30</v>
      </c>
      <c r="D410" s="10" t="s">
        <v>17</v>
      </c>
      <c r="E410" s="12">
        <v>787260</v>
      </c>
      <c r="F410" s="10">
        <v>539</v>
      </c>
      <c r="G410" s="12">
        <v>1757167</v>
      </c>
      <c r="H410" s="13">
        <v>14</v>
      </c>
      <c r="I410" s="10">
        <v>12</v>
      </c>
      <c r="J410" s="10" t="s">
        <v>14</v>
      </c>
      <c r="K410" s="14">
        <v>0.35</v>
      </c>
      <c r="L410" s="10" t="s">
        <v>18</v>
      </c>
      <c r="M410" s="10" t="s">
        <v>2</v>
      </c>
      <c r="N410" s="10">
        <v>1</v>
      </c>
      <c r="O410" s="10" t="str">
        <f t="shared" si="12"/>
        <v>Poor</v>
      </c>
      <c r="P410" s="10" t="str">
        <f t="shared" si="13"/>
        <v>Medium</v>
      </c>
    </row>
    <row r="411" spans="1:16" x14ac:dyDescent="0.25">
      <c r="A411" s="9" t="s">
        <v>459</v>
      </c>
      <c r="B411" s="15">
        <v>44935</v>
      </c>
      <c r="C411" s="9">
        <v>26</v>
      </c>
      <c r="D411" s="9" t="s">
        <v>17</v>
      </c>
      <c r="E411" s="16">
        <v>1687247</v>
      </c>
      <c r="F411" s="9">
        <v>337</v>
      </c>
      <c r="G411" s="16">
        <v>909279</v>
      </c>
      <c r="H411" s="17">
        <v>16</v>
      </c>
      <c r="I411" s="9">
        <v>60</v>
      </c>
      <c r="J411" s="9" t="s">
        <v>9</v>
      </c>
      <c r="K411" s="18">
        <v>0.59</v>
      </c>
      <c r="L411" s="9" t="s">
        <v>19</v>
      </c>
      <c r="M411" s="9" t="s">
        <v>2</v>
      </c>
      <c r="N411" s="9">
        <v>0</v>
      </c>
      <c r="O411" s="9" t="str">
        <f t="shared" si="12"/>
        <v>Poor</v>
      </c>
      <c r="P411" s="9" t="str">
        <f t="shared" si="13"/>
        <v>High</v>
      </c>
    </row>
    <row r="412" spans="1:16" x14ac:dyDescent="0.25">
      <c r="A412" s="10" t="s">
        <v>460</v>
      </c>
      <c r="B412" s="11">
        <v>44933</v>
      </c>
      <c r="C412" s="10">
        <v>37</v>
      </c>
      <c r="D412" s="10" t="s">
        <v>16</v>
      </c>
      <c r="E412" s="12">
        <v>1414587</v>
      </c>
      <c r="F412" s="10">
        <v>668</v>
      </c>
      <c r="G412" s="12">
        <v>503514</v>
      </c>
      <c r="H412" s="13">
        <v>14</v>
      </c>
      <c r="I412" s="10">
        <v>36</v>
      </c>
      <c r="J412" s="10" t="s">
        <v>12</v>
      </c>
      <c r="K412" s="14">
        <v>0.52</v>
      </c>
      <c r="L412" s="10" t="s">
        <v>18</v>
      </c>
      <c r="M412" s="10" t="s">
        <v>4</v>
      </c>
      <c r="N412" s="10">
        <v>0</v>
      </c>
      <c r="O412" s="10" t="str">
        <f t="shared" si="12"/>
        <v>Fair</v>
      </c>
      <c r="P412" s="10" t="str">
        <f t="shared" si="13"/>
        <v>High</v>
      </c>
    </row>
    <row r="413" spans="1:16" x14ac:dyDescent="0.25">
      <c r="A413" s="9" t="s">
        <v>461</v>
      </c>
      <c r="B413" s="15">
        <v>45225</v>
      </c>
      <c r="C413" s="9">
        <v>51</v>
      </c>
      <c r="D413" s="9" t="s">
        <v>16</v>
      </c>
      <c r="E413" s="16">
        <v>363848</v>
      </c>
      <c r="F413" s="9">
        <v>528</v>
      </c>
      <c r="G413" s="16">
        <v>1057992</v>
      </c>
      <c r="H413" s="17">
        <v>13</v>
      </c>
      <c r="I413" s="9">
        <v>60</v>
      </c>
      <c r="J413" s="9" t="s">
        <v>9</v>
      </c>
      <c r="K413" s="18">
        <v>0.38</v>
      </c>
      <c r="L413" s="9" t="s">
        <v>20</v>
      </c>
      <c r="M413" s="9" t="s">
        <v>5</v>
      </c>
      <c r="N413" s="9">
        <v>1</v>
      </c>
      <c r="O413" s="9" t="str">
        <f t="shared" si="12"/>
        <v>Poor</v>
      </c>
      <c r="P413" s="9" t="str">
        <f t="shared" si="13"/>
        <v>Medium</v>
      </c>
    </row>
    <row r="414" spans="1:16" x14ac:dyDescent="0.25">
      <c r="A414" s="10" t="s">
        <v>462</v>
      </c>
      <c r="B414" s="11">
        <v>45776</v>
      </c>
      <c r="C414" s="10">
        <v>42</v>
      </c>
      <c r="D414" s="10" t="s">
        <v>17</v>
      </c>
      <c r="E414" s="12">
        <v>1746560</v>
      </c>
      <c r="F414" s="10">
        <v>622</v>
      </c>
      <c r="G414" s="12">
        <v>907778</v>
      </c>
      <c r="H414" s="13">
        <v>21</v>
      </c>
      <c r="I414" s="10">
        <v>24</v>
      </c>
      <c r="J414" s="10" t="s">
        <v>9</v>
      </c>
      <c r="K414" s="14">
        <v>0.19</v>
      </c>
      <c r="L414" s="10" t="s">
        <v>18</v>
      </c>
      <c r="M414" s="10" t="s">
        <v>4</v>
      </c>
      <c r="N414" s="10">
        <v>0</v>
      </c>
      <c r="O414" s="10" t="str">
        <f t="shared" si="12"/>
        <v>Fair</v>
      </c>
      <c r="P414" s="10" t="str">
        <f t="shared" si="13"/>
        <v>Low</v>
      </c>
    </row>
    <row r="415" spans="1:16" x14ac:dyDescent="0.25">
      <c r="A415" s="9" t="s">
        <v>463</v>
      </c>
      <c r="B415" s="15">
        <v>45413</v>
      </c>
      <c r="C415" s="9">
        <v>55</v>
      </c>
      <c r="D415" s="9" t="s">
        <v>16</v>
      </c>
      <c r="E415" s="16">
        <v>273315</v>
      </c>
      <c r="F415" s="9">
        <v>615</v>
      </c>
      <c r="G415" s="16">
        <v>1122902</v>
      </c>
      <c r="H415" s="17">
        <v>13</v>
      </c>
      <c r="I415" s="9">
        <v>24</v>
      </c>
      <c r="J415" s="9" t="s">
        <v>13</v>
      </c>
      <c r="K415" s="18">
        <v>0.16</v>
      </c>
      <c r="L415" s="9" t="s">
        <v>21</v>
      </c>
      <c r="M415" s="9" t="s">
        <v>4</v>
      </c>
      <c r="N415" s="9">
        <v>0</v>
      </c>
      <c r="O415" s="9" t="str">
        <f t="shared" si="12"/>
        <v>Fair</v>
      </c>
      <c r="P415" s="9" t="str">
        <f t="shared" si="13"/>
        <v>Low</v>
      </c>
    </row>
    <row r="416" spans="1:16" x14ac:dyDescent="0.25">
      <c r="A416" s="10" t="s">
        <v>464</v>
      </c>
      <c r="B416" s="11">
        <v>45950</v>
      </c>
      <c r="C416" s="10">
        <v>56</v>
      </c>
      <c r="D416" s="10" t="s">
        <v>16</v>
      </c>
      <c r="E416" s="12">
        <v>1187389</v>
      </c>
      <c r="F416" s="10">
        <v>515</v>
      </c>
      <c r="G416" s="12">
        <v>200021</v>
      </c>
      <c r="H416" s="13">
        <v>21</v>
      </c>
      <c r="I416" s="10">
        <v>60</v>
      </c>
      <c r="J416" s="10" t="s">
        <v>14</v>
      </c>
      <c r="K416" s="14">
        <v>0.34</v>
      </c>
      <c r="L416" s="10" t="s">
        <v>19</v>
      </c>
      <c r="M416" s="10" t="s">
        <v>5</v>
      </c>
      <c r="N416" s="10">
        <v>0</v>
      </c>
      <c r="O416" s="10" t="str">
        <f t="shared" si="12"/>
        <v>Poor</v>
      </c>
      <c r="P416" s="10" t="str">
        <f t="shared" si="13"/>
        <v>Medium</v>
      </c>
    </row>
    <row r="417" spans="1:16" x14ac:dyDescent="0.25">
      <c r="A417" s="9" t="s">
        <v>465</v>
      </c>
      <c r="B417" s="15">
        <v>45122</v>
      </c>
      <c r="C417" s="9">
        <v>21</v>
      </c>
      <c r="D417" s="9" t="s">
        <v>16</v>
      </c>
      <c r="E417" s="16">
        <v>1482261</v>
      </c>
      <c r="F417" s="9">
        <v>499</v>
      </c>
      <c r="G417" s="16">
        <v>477572</v>
      </c>
      <c r="H417" s="17">
        <v>12</v>
      </c>
      <c r="I417" s="9">
        <v>36</v>
      </c>
      <c r="J417" s="9" t="s">
        <v>9</v>
      </c>
      <c r="K417" s="18">
        <v>0.51</v>
      </c>
      <c r="L417" s="9" t="s">
        <v>22</v>
      </c>
      <c r="M417" s="9" t="s">
        <v>4</v>
      </c>
      <c r="N417" s="9">
        <v>1</v>
      </c>
      <c r="O417" s="9" t="str">
        <f t="shared" si="12"/>
        <v>Poor</v>
      </c>
      <c r="P417" s="9" t="str">
        <f t="shared" si="13"/>
        <v>High</v>
      </c>
    </row>
    <row r="418" spans="1:16" x14ac:dyDescent="0.25">
      <c r="A418" s="10" t="s">
        <v>466</v>
      </c>
      <c r="B418" s="11">
        <v>45602</v>
      </c>
      <c r="C418" s="10">
        <v>60</v>
      </c>
      <c r="D418" s="10" t="s">
        <v>16</v>
      </c>
      <c r="E418" s="12">
        <v>2287632</v>
      </c>
      <c r="F418" s="10">
        <v>591</v>
      </c>
      <c r="G418" s="12">
        <v>1311255</v>
      </c>
      <c r="H418" s="13">
        <v>12</v>
      </c>
      <c r="I418" s="10">
        <v>24</v>
      </c>
      <c r="J418" s="10" t="s">
        <v>13</v>
      </c>
      <c r="K418" s="14">
        <v>0.34</v>
      </c>
      <c r="L418" s="10" t="s">
        <v>18</v>
      </c>
      <c r="M418" s="10" t="s">
        <v>4</v>
      </c>
      <c r="N418" s="10">
        <v>0</v>
      </c>
      <c r="O418" s="10" t="str">
        <f t="shared" si="12"/>
        <v>Fair</v>
      </c>
      <c r="P418" s="10" t="str">
        <f t="shared" si="13"/>
        <v>Medium</v>
      </c>
    </row>
    <row r="419" spans="1:16" x14ac:dyDescent="0.25">
      <c r="A419" s="9" t="s">
        <v>467</v>
      </c>
      <c r="B419" s="15">
        <v>45489</v>
      </c>
      <c r="C419" s="9">
        <v>33</v>
      </c>
      <c r="D419" s="9" t="s">
        <v>16</v>
      </c>
      <c r="E419" s="16">
        <v>2119933</v>
      </c>
      <c r="F419" s="9">
        <v>515</v>
      </c>
      <c r="G419" s="16">
        <v>788110</v>
      </c>
      <c r="H419" s="17">
        <v>14</v>
      </c>
      <c r="I419" s="9">
        <v>60</v>
      </c>
      <c r="J419" s="9" t="s">
        <v>11</v>
      </c>
      <c r="K419" s="18">
        <v>0.36</v>
      </c>
      <c r="L419" s="9" t="s">
        <v>22</v>
      </c>
      <c r="M419" s="9" t="s">
        <v>3</v>
      </c>
      <c r="N419" s="9">
        <v>0</v>
      </c>
      <c r="O419" s="9" t="str">
        <f t="shared" si="12"/>
        <v>Poor</v>
      </c>
      <c r="P419" s="9" t="str">
        <f t="shared" si="13"/>
        <v>Medium</v>
      </c>
    </row>
    <row r="420" spans="1:16" x14ac:dyDescent="0.25">
      <c r="A420" s="10" t="s">
        <v>468</v>
      </c>
      <c r="B420" s="11">
        <v>45449</v>
      </c>
      <c r="C420" s="10">
        <v>38</v>
      </c>
      <c r="D420" s="10" t="s">
        <v>16</v>
      </c>
      <c r="E420" s="12">
        <v>336081</v>
      </c>
      <c r="F420" s="10">
        <v>840</v>
      </c>
      <c r="G420" s="12">
        <v>951450</v>
      </c>
      <c r="H420" s="13">
        <v>13</v>
      </c>
      <c r="I420" s="10">
        <v>12</v>
      </c>
      <c r="J420" s="10" t="s">
        <v>11</v>
      </c>
      <c r="K420" s="14">
        <v>0.36</v>
      </c>
      <c r="L420" s="10" t="s">
        <v>20</v>
      </c>
      <c r="M420" s="10" t="s">
        <v>2</v>
      </c>
      <c r="N420" s="10">
        <v>0</v>
      </c>
      <c r="O420" s="10" t="str">
        <f t="shared" si="12"/>
        <v>Excellent</v>
      </c>
      <c r="P420" s="10" t="str">
        <f t="shared" si="13"/>
        <v>Medium</v>
      </c>
    </row>
    <row r="421" spans="1:16" x14ac:dyDescent="0.25">
      <c r="A421" s="9" t="s">
        <v>469</v>
      </c>
      <c r="B421" s="15">
        <v>45632</v>
      </c>
      <c r="C421" s="9">
        <v>47</v>
      </c>
      <c r="D421" s="9" t="s">
        <v>17</v>
      </c>
      <c r="E421" s="16">
        <v>1101165</v>
      </c>
      <c r="F421" s="9">
        <v>548</v>
      </c>
      <c r="G421" s="16">
        <v>252904</v>
      </c>
      <c r="H421" s="17">
        <v>6</v>
      </c>
      <c r="I421" s="9">
        <v>12</v>
      </c>
      <c r="J421" s="9" t="s">
        <v>13</v>
      </c>
      <c r="K421" s="18">
        <v>0.13</v>
      </c>
      <c r="L421" s="9" t="s">
        <v>18</v>
      </c>
      <c r="M421" s="9" t="s">
        <v>5</v>
      </c>
      <c r="N421" s="9">
        <v>0</v>
      </c>
      <c r="O421" s="9" t="str">
        <f t="shared" si="12"/>
        <v>Poor</v>
      </c>
      <c r="P421" s="9" t="str">
        <f t="shared" si="13"/>
        <v>Low</v>
      </c>
    </row>
    <row r="422" spans="1:16" x14ac:dyDescent="0.25">
      <c r="A422" s="10" t="s">
        <v>470</v>
      </c>
      <c r="B422" s="11">
        <v>45123</v>
      </c>
      <c r="C422" s="10">
        <v>31</v>
      </c>
      <c r="D422" s="10" t="s">
        <v>9</v>
      </c>
      <c r="E422" s="12">
        <v>1460217</v>
      </c>
      <c r="F422" s="10">
        <v>719</v>
      </c>
      <c r="G422" s="12">
        <v>1879791</v>
      </c>
      <c r="H422" s="13">
        <v>15</v>
      </c>
      <c r="I422" s="10">
        <v>60</v>
      </c>
      <c r="J422" s="10" t="s">
        <v>14</v>
      </c>
      <c r="K422" s="14">
        <v>0.16</v>
      </c>
      <c r="L422" s="10" t="s">
        <v>19</v>
      </c>
      <c r="M422" s="10" t="s">
        <v>3</v>
      </c>
      <c r="N422" s="10">
        <v>0</v>
      </c>
      <c r="O422" s="10" t="str">
        <f t="shared" si="12"/>
        <v>Good</v>
      </c>
      <c r="P422" s="10" t="str">
        <f t="shared" si="13"/>
        <v>Low</v>
      </c>
    </row>
    <row r="423" spans="1:16" x14ac:dyDescent="0.25">
      <c r="A423" s="9" t="s">
        <v>471</v>
      </c>
      <c r="B423" s="15">
        <v>45872</v>
      </c>
      <c r="C423" s="9">
        <v>40</v>
      </c>
      <c r="D423" s="9" t="s">
        <v>9</v>
      </c>
      <c r="E423" s="16">
        <v>508385</v>
      </c>
      <c r="F423" s="9">
        <v>711</v>
      </c>
      <c r="G423" s="16">
        <v>445933</v>
      </c>
      <c r="H423" s="17">
        <v>19</v>
      </c>
      <c r="I423" s="9">
        <v>60</v>
      </c>
      <c r="J423" s="9" t="s">
        <v>9</v>
      </c>
      <c r="K423" s="18">
        <v>0.56000000000000005</v>
      </c>
      <c r="L423" s="9" t="s">
        <v>21</v>
      </c>
      <c r="M423" s="9" t="s">
        <v>4</v>
      </c>
      <c r="N423" s="9">
        <v>0</v>
      </c>
      <c r="O423" s="9" t="str">
        <f t="shared" si="12"/>
        <v>Good</v>
      </c>
      <c r="P423" s="9" t="str">
        <f t="shared" si="13"/>
        <v>High</v>
      </c>
    </row>
    <row r="424" spans="1:16" x14ac:dyDescent="0.25">
      <c r="A424" s="10" t="s">
        <v>472</v>
      </c>
      <c r="B424" s="11">
        <v>44962</v>
      </c>
      <c r="C424" s="10">
        <v>35</v>
      </c>
      <c r="D424" s="10" t="s">
        <v>17</v>
      </c>
      <c r="E424" s="12">
        <v>1102953</v>
      </c>
      <c r="F424" s="10">
        <v>429</v>
      </c>
      <c r="G424" s="12">
        <v>950821</v>
      </c>
      <c r="H424" s="13">
        <v>21</v>
      </c>
      <c r="I424" s="10">
        <v>24</v>
      </c>
      <c r="J424" s="10" t="s">
        <v>10</v>
      </c>
      <c r="K424" s="14">
        <v>0.36</v>
      </c>
      <c r="L424" s="10" t="s">
        <v>19</v>
      </c>
      <c r="M424" s="10" t="s">
        <v>3</v>
      </c>
      <c r="N424" s="10">
        <v>0</v>
      </c>
      <c r="O424" s="10" t="str">
        <f t="shared" si="12"/>
        <v>Poor</v>
      </c>
      <c r="P424" s="10" t="str">
        <f t="shared" si="13"/>
        <v>Medium</v>
      </c>
    </row>
    <row r="425" spans="1:16" x14ac:dyDescent="0.25">
      <c r="A425" s="9" t="s">
        <v>473</v>
      </c>
      <c r="B425" s="15">
        <v>45485</v>
      </c>
      <c r="C425" s="9">
        <v>31</v>
      </c>
      <c r="D425" s="9" t="s">
        <v>16</v>
      </c>
      <c r="E425" s="16">
        <v>946956</v>
      </c>
      <c r="F425" s="9">
        <v>454</v>
      </c>
      <c r="G425" s="16">
        <v>336352</v>
      </c>
      <c r="H425" s="17">
        <v>12</v>
      </c>
      <c r="I425" s="9">
        <v>24</v>
      </c>
      <c r="J425" s="9" t="s">
        <v>9</v>
      </c>
      <c r="K425" s="18">
        <v>0.48</v>
      </c>
      <c r="L425" s="9" t="s">
        <v>19</v>
      </c>
      <c r="M425" s="9" t="s">
        <v>2</v>
      </c>
      <c r="N425" s="9">
        <v>0</v>
      </c>
      <c r="O425" s="9" t="str">
        <f t="shared" si="12"/>
        <v>Poor</v>
      </c>
      <c r="P425" s="9" t="str">
        <f t="shared" si="13"/>
        <v>High</v>
      </c>
    </row>
    <row r="426" spans="1:16" x14ac:dyDescent="0.25">
      <c r="A426" s="10" t="s">
        <v>474</v>
      </c>
      <c r="B426" s="11">
        <v>45096</v>
      </c>
      <c r="C426" s="10">
        <v>31</v>
      </c>
      <c r="D426" s="10" t="s">
        <v>17</v>
      </c>
      <c r="E426" s="12">
        <v>944543</v>
      </c>
      <c r="F426" s="10">
        <v>373</v>
      </c>
      <c r="G426" s="12">
        <v>1334742</v>
      </c>
      <c r="H426" s="13">
        <v>19</v>
      </c>
      <c r="I426" s="10">
        <v>36</v>
      </c>
      <c r="J426" s="10" t="s">
        <v>12</v>
      </c>
      <c r="K426" s="14">
        <v>0.39</v>
      </c>
      <c r="L426" s="10" t="s">
        <v>20</v>
      </c>
      <c r="M426" s="10" t="s">
        <v>4</v>
      </c>
      <c r="N426" s="10">
        <v>1</v>
      </c>
      <c r="O426" s="10" t="str">
        <f t="shared" si="12"/>
        <v>Poor</v>
      </c>
      <c r="P426" s="10" t="str">
        <f t="shared" si="13"/>
        <v>Medium</v>
      </c>
    </row>
    <row r="427" spans="1:16" x14ac:dyDescent="0.25">
      <c r="A427" s="9" t="s">
        <v>475</v>
      </c>
      <c r="B427" s="15">
        <v>45376</v>
      </c>
      <c r="C427" s="9">
        <v>41</v>
      </c>
      <c r="D427" s="9" t="s">
        <v>9</v>
      </c>
      <c r="E427" s="16">
        <v>1628963</v>
      </c>
      <c r="F427" s="9">
        <v>395</v>
      </c>
      <c r="G427" s="16">
        <v>1472196</v>
      </c>
      <c r="H427" s="17">
        <v>9</v>
      </c>
      <c r="I427" s="9">
        <v>24</v>
      </c>
      <c r="J427" s="9" t="s">
        <v>13</v>
      </c>
      <c r="K427" s="18">
        <v>0.2</v>
      </c>
      <c r="L427" s="9" t="s">
        <v>20</v>
      </c>
      <c r="M427" s="9" t="s">
        <v>2</v>
      </c>
      <c r="N427" s="9">
        <v>0</v>
      </c>
      <c r="O427" s="9" t="str">
        <f t="shared" si="12"/>
        <v>Poor</v>
      </c>
      <c r="P427" s="9" t="str">
        <f t="shared" si="13"/>
        <v>Medium</v>
      </c>
    </row>
    <row r="428" spans="1:16" x14ac:dyDescent="0.25">
      <c r="A428" s="10" t="s">
        <v>476</v>
      </c>
      <c r="B428" s="11">
        <v>45260</v>
      </c>
      <c r="C428" s="10">
        <v>21</v>
      </c>
      <c r="D428" s="10" t="s">
        <v>9</v>
      </c>
      <c r="E428" s="12">
        <v>780587</v>
      </c>
      <c r="F428" s="10">
        <v>429</v>
      </c>
      <c r="G428" s="12">
        <v>446739</v>
      </c>
      <c r="H428" s="13">
        <v>21</v>
      </c>
      <c r="I428" s="10">
        <v>60</v>
      </c>
      <c r="J428" s="10" t="s">
        <v>12</v>
      </c>
      <c r="K428" s="14">
        <v>0.2</v>
      </c>
      <c r="L428" s="10" t="s">
        <v>19</v>
      </c>
      <c r="M428" s="10" t="s">
        <v>5</v>
      </c>
      <c r="N428" s="10">
        <v>0</v>
      </c>
      <c r="O428" s="10" t="str">
        <f t="shared" si="12"/>
        <v>Poor</v>
      </c>
      <c r="P428" s="10" t="str">
        <f t="shared" si="13"/>
        <v>Medium</v>
      </c>
    </row>
    <row r="429" spans="1:16" x14ac:dyDescent="0.25">
      <c r="A429" s="9" t="s">
        <v>477</v>
      </c>
      <c r="B429" s="15">
        <v>45325</v>
      </c>
      <c r="C429" s="9">
        <v>25</v>
      </c>
      <c r="D429" s="9" t="s">
        <v>9</v>
      </c>
      <c r="E429" s="16">
        <v>260428</v>
      </c>
      <c r="F429" s="9">
        <v>817</v>
      </c>
      <c r="G429" s="16">
        <v>500110</v>
      </c>
      <c r="H429" s="17">
        <v>18</v>
      </c>
      <c r="I429" s="9">
        <v>12</v>
      </c>
      <c r="J429" s="9" t="s">
        <v>9</v>
      </c>
      <c r="K429" s="18">
        <v>0.48</v>
      </c>
      <c r="L429" s="9" t="s">
        <v>19</v>
      </c>
      <c r="M429" s="9" t="s">
        <v>5</v>
      </c>
      <c r="N429" s="9">
        <v>0</v>
      </c>
      <c r="O429" s="9" t="str">
        <f t="shared" si="12"/>
        <v>Excellent</v>
      </c>
      <c r="P429" s="9" t="str">
        <f t="shared" si="13"/>
        <v>High</v>
      </c>
    </row>
    <row r="430" spans="1:16" x14ac:dyDescent="0.25">
      <c r="A430" s="10" t="s">
        <v>478</v>
      </c>
      <c r="B430" s="11">
        <v>45588</v>
      </c>
      <c r="C430" s="10">
        <v>52</v>
      </c>
      <c r="D430" s="10" t="s">
        <v>17</v>
      </c>
      <c r="E430" s="12">
        <v>1202026</v>
      </c>
      <c r="F430" s="10">
        <v>425</v>
      </c>
      <c r="G430" s="12">
        <v>1456597</v>
      </c>
      <c r="H430" s="13">
        <v>7</v>
      </c>
      <c r="I430" s="10">
        <v>60</v>
      </c>
      <c r="J430" s="10" t="s">
        <v>11</v>
      </c>
      <c r="K430" s="14">
        <v>0.55000000000000004</v>
      </c>
      <c r="L430" s="10" t="s">
        <v>19</v>
      </c>
      <c r="M430" s="10" t="s">
        <v>4</v>
      </c>
      <c r="N430" s="10">
        <v>1</v>
      </c>
      <c r="O430" s="10" t="str">
        <f t="shared" si="12"/>
        <v>Poor</v>
      </c>
      <c r="P430" s="10" t="str">
        <f t="shared" si="13"/>
        <v>High</v>
      </c>
    </row>
    <row r="431" spans="1:16" x14ac:dyDescent="0.25">
      <c r="A431" s="9" t="s">
        <v>479</v>
      </c>
      <c r="B431" s="15">
        <v>45744</v>
      </c>
      <c r="C431" s="9">
        <v>64</v>
      </c>
      <c r="D431" s="9" t="s">
        <v>9</v>
      </c>
      <c r="E431" s="16">
        <v>1669563</v>
      </c>
      <c r="F431" s="9">
        <v>333</v>
      </c>
      <c r="G431" s="16">
        <v>1282783</v>
      </c>
      <c r="H431" s="17">
        <v>20</v>
      </c>
      <c r="I431" s="9">
        <v>36</v>
      </c>
      <c r="J431" s="9" t="s">
        <v>9</v>
      </c>
      <c r="K431" s="18">
        <v>0.46</v>
      </c>
      <c r="L431" s="9" t="s">
        <v>22</v>
      </c>
      <c r="M431" s="9" t="s">
        <v>4</v>
      </c>
      <c r="N431" s="9">
        <v>1</v>
      </c>
      <c r="O431" s="9" t="str">
        <f t="shared" si="12"/>
        <v>Poor</v>
      </c>
      <c r="P431" s="9" t="str">
        <f t="shared" si="13"/>
        <v>High</v>
      </c>
    </row>
    <row r="432" spans="1:16" x14ac:dyDescent="0.25">
      <c r="A432" s="10" t="s">
        <v>480</v>
      </c>
      <c r="B432" s="11">
        <v>45279</v>
      </c>
      <c r="C432" s="10">
        <v>37</v>
      </c>
      <c r="D432" s="10" t="s">
        <v>16</v>
      </c>
      <c r="E432" s="12">
        <v>2042833</v>
      </c>
      <c r="F432" s="10">
        <v>828</v>
      </c>
      <c r="G432" s="12">
        <v>380116</v>
      </c>
      <c r="H432" s="13">
        <v>12</v>
      </c>
      <c r="I432" s="10">
        <v>12</v>
      </c>
      <c r="J432" s="10" t="s">
        <v>13</v>
      </c>
      <c r="K432" s="14">
        <v>0.28999999999999998</v>
      </c>
      <c r="L432" s="10" t="s">
        <v>21</v>
      </c>
      <c r="M432" s="10" t="s">
        <v>2</v>
      </c>
      <c r="N432" s="10">
        <v>0</v>
      </c>
      <c r="O432" s="10" t="str">
        <f t="shared" si="12"/>
        <v>Excellent</v>
      </c>
      <c r="P432" s="10" t="str">
        <f t="shared" si="13"/>
        <v>Medium</v>
      </c>
    </row>
    <row r="433" spans="1:16" x14ac:dyDescent="0.25">
      <c r="A433" s="9" t="s">
        <v>481</v>
      </c>
      <c r="B433" s="15">
        <v>45115</v>
      </c>
      <c r="C433" s="9">
        <v>52</v>
      </c>
      <c r="D433" s="9" t="s">
        <v>17</v>
      </c>
      <c r="E433" s="16">
        <v>1543199</v>
      </c>
      <c r="F433" s="9">
        <v>679</v>
      </c>
      <c r="G433" s="16">
        <v>923069</v>
      </c>
      <c r="H433" s="17">
        <v>14</v>
      </c>
      <c r="I433" s="9">
        <v>24</v>
      </c>
      <c r="J433" s="9" t="s">
        <v>13</v>
      </c>
      <c r="K433" s="18">
        <v>0.5</v>
      </c>
      <c r="L433" s="9" t="s">
        <v>19</v>
      </c>
      <c r="M433" s="9" t="s">
        <v>5</v>
      </c>
      <c r="N433" s="9">
        <v>0</v>
      </c>
      <c r="O433" s="9" t="str">
        <f t="shared" si="12"/>
        <v>Good</v>
      </c>
      <c r="P433" s="9" t="str">
        <f t="shared" si="13"/>
        <v>High</v>
      </c>
    </row>
    <row r="434" spans="1:16" x14ac:dyDescent="0.25">
      <c r="A434" s="10" t="s">
        <v>482</v>
      </c>
      <c r="B434" s="11">
        <v>45184</v>
      </c>
      <c r="C434" s="10">
        <v>22</v>
      </c>
      <c r="D434" s="10" t="s">
        <v>16</v>
      </c>
      <c r="E434" s="12">
        <v>550850</v>
      </c>
      <c r="F434" s="10">
        <v>717</v>
      </c>
      <c r="G434" s="12">
        <v>847873</v>
      </c>
      <c r="H434" s="13">
        <v>14</v>
      </c>
      <c r="I434" s="10">
        <v>60</v>
      </c>
      <c r="J434" s="10" t="s">
        <v>14</v>
      </c>
      <c r="K434" s="14">
        <v>0.14000000000000001</v>
      </c>
      <c r="L434" s="10" t="s">
        <v>19</v>
      </c>
      <c r="M434" s="10" t="s">
        <v>3</v>
      </c>
      <c r="N434" s="10">
        <v>0</v>
      </c>
      <c r="O434" s="10" t="str">
        <f t="shared" si="12"/>
        <v>Good</v>
      </c>
      <c r="P434" s="10" t="str">
        <f t="shared" si="13"/>
        <v>Low</v>
      </c>
    </row>
    <row r="435" spans="1:16" x14ac:dyDescent="0.25">
      <c r="A435" s="9" t="s">
        <v>483</v>
      </c>
      <c r="B435" s="15">
        <v>45118</v>
      </c>
      <c r="C435" s="9">
        <v>53</v>
      </c>
      <c r="D435" s="9" t="s">
        <v>16</v>
      </c>
      <c r="E435" s="16">
        <v>1931737</v>
      </c>
      <c r="F435" s="9">
        <v>535</v>
      </c>
      <c r="G435" s="16">
        <v>1073291</v>
      </c>
      <c r="H435" s="17">
        <v>13</v>
      </c>
      <c r="I435" s="9">
        <v>24</v>
      </c>
      <c r="J435" s="9" t="s">
        <v>13</v>
      </c>
      <c r="K435" s="18">
        <v>0.31</v>
      </c>
      <c r="L435" s="9" t="s">
        <v>20</v>
      </c>
      <c r="M435" s="9" t="s">
        <v>3</v>
      </c>
      <c r="N435" s="9">
        <v>0</v>
      </c>
      <c r="O435" s="9" t="str">
        <f t="shared" si="12"/>
        <v>Poor</v>
      </c>
      <c r="P435" s="9" t="str">
        <f t="shared" si="13"/>
        <v>Medium</v>
      </c>
    </row>
    <row r="436" spans="1:16" x14ac:dyDescent="0.25">
      <c r="A436" s="10" t="s">
        <v>484</v>
      </c>
      <c r="B436" s="11">
        <v>45937</v>
      </c>
      <c r="C436" s="10">
        <v>44</v>
      </c>
      <c r="D436" s="10" t="s">
        <v>16</v>
      </c>
      <c r="E436" s="12">
        <v>1905001</v>
      </c>
      <c r="F436" s="10">
        <v>327</v>
      </c>
      <c r="G436" s="12">
        <v>74778</v>
      </c>
      <c r="H436" s="13">
        <v>7</v>
      </c>
      <c r="I436" s="10">
        <v>12</v>
      </c>
      <c r="J436" s="10" t="s">
        <v>12</v>
      </c>
      <c r="K436" s="14">
        <v>0.34</v>
      </c>
      <c r="L436" s="10" t="s">
        <v>20</v>
      </c>
      <c r="M436" s="10" t="s">
        <v>3</v>
      </c>
      <c r="N436" s="10">
        <v>0</v>
      </c>
      <c r="O436" s="10" t="str">
        <f t="shared" si="12"/>
        <v>Poor</v>
      </c>
      <c r="P436" s="10" t="str">
        <f t="shared" si="13"/>
        <v>Medium</v>
      </c>
    </row>
    <row r="437" spans="1:16" x14ac:dyDescent="0.25">
      <c r="A437" s="9" t="s">
        <v>485</v>
      </c>
      <c r="B437" s="15">
        <v>45344</v>
      </c>
      <c r="C437" s="9">
        <v>27</v>
      </c>
      <c r="D437" s="9" t="s">
        <v>9</v>
      </c>
      <c r="E437" s="16">
        <v>1405661</v>
      </c>
      <c r="F437" s="9">
        <v>379</v>
      </c>
      <c r="G437" s="16">
        <v>787954</v>
      </c>
      <c r="H437" s="17">
        <v>9</v>
      </c>
      <c r="I437" s="9">
        <v>24</v>
      </c>
      <c r="J437" s="9" t="s">
        <v>14</v>
      </c>
      <c r="K437" s="18">
        <v>0.39</v>
      </c>
      <c r="L437" s="9" t="s">
        <v>20</v>
      </c>
      <c r="M437" s="9" t="s">
        <v>4</v>
      </c>
      <c r="N437" s="9">
        <v>0</v>
      </c>
      <c r="O437" s="9" t="str">
        <f t="shared" si="12"/>
        <v>Poor</v>
      </c>
      <c r="P437" s="9" t="str">
        <f t="shared" si="13"/>
        <v>Medium</v>
      </c>
    </row>
    <row r="438" spans="1:16" x14ac:dyDescent="0.25">
      <c r="A438" s="10" t="s">
        <v>486</v>
      </c>
      <c r="B438" s="11">
        <v>45708</v>
      </c>
      <c r="C438" s="10">
        <v>38</v>
      </c>
      <c r="D438" s="10" t="s">
        <v>17</v>
      </c>
      <c r="E438" s="12">
        <v>2070721</v>
      </c>
      <c r="F438" s="10">
        <v>787</v>
      </c>
      <c r="G438" s="12">
        <v>1292460</v>
      </c>
      <c r="H438" s="13">
        <v>16</v>
      </c>
      <c r="I438" s="10">
        <v>12</v>
      </c>
      <c r="J438" s="10" t="s">
        <v>14</v>
      </c>
      <c r="K438" s="14">
        <v>0.34</v>
      </c>
      <c r="L438" s="10" t="s">
        <v>18</v>
      </c>
      <c r="M438" s="10" t="s">
        <v>3</v>
      </c>
      <c r="N438" s="10">
        <v>0</v>
      </c>
      <c r="O438" s="10" t="str">
        <f t="shared" si="12"/>
        <v>Excellent</v>
      </c>
      <c r="P438" s="10" t="str">
        <f t="shared" si="13"/>
        <v>Medium</v>
      </c>
    </row>
    <row r="439" spans="1:16" x14ac:dyDescent="0.25">
      <c r="A439" s="9" t="s">
        <v>487</v>
      </c>
      <c r="B439" s="15">
        <v>44942</v>
      </c>
      <c r="C439" s="9">
        <v>33</v>
      </c>
      <c r="D439" s="9" t="s">
        <v>17</v>
      </c>
      <c r="E439" s="16">
        <v>676214</v>
      </c>
      <c r="F439" s="9">
        <v>724</v>
      </c>
      <c r="G439" s="16">
        <v>262731</v>
      </c>
      <c r="H439" s="17">
        <v>17</v>
      </c>
      <c r="I439" s="9">
        <v>36</v>
      </c>
      <c r="J439" s="9" t="s">
        <v>13</v>
      </c>
      <c r="K439" s="18">
        <v>0.56000000000000005</v>
      </c>
      <c r="L439" s="9" t="s">
        <v>21</v>
      </c>
      <c r="M439" s="9" t="s">
        <v>5</v>
      </c>
      <c r="N439" s="9">
        <v>0</v>
      </c>
      <c r="O439" s="9" t="str">
        <f t="shared" si="12"/>
        <v>Good</v>
      </c>
      <c r="P439" s="9" t="str">
        <f t="shared" si="13"/>
        <v>High</v>
      </c>
    </row>
    <row r="440" spans="1:16" x14ac:dyDescent="0.25">
      <c r="A440" s="10" t="s">
        <v>488</v>
      </c>
      <c r="B440" s="11">
        <v>45423</v>
      </c>
      <c r="C440" s="10">
        <v>55</v>
      </c>
      <c r="D440" s="10" t="s">
        <v>17</v>
      </c>
      <c r="E440" s="12">
        <v>1968931</v>
      </c>
      <c r="F440" s="10">
        <v>633</v>
      </c>
      <c r="G440" s="12">
        <v>1451572</v>
      </c>
      <c r="H440" s="13">
        <v>19</v>
      </c>
      <c r="I440" s="10">
        <v>36</v>
      </c>
      <c r="J440" s="10" t="s">
        <v>10</v>
      </c>
      <c r="K440" s="14">
        <v>0.13</v>
      </c>
      <c r="L440" s="10" t="s">
        <v>18</v>
      </c>
      <c r="M440" s="10" t="s">
        <v>4</v>
      </c>
      <c r="N440" s="10">
        <v>0</v>
      </c>
      <c r="O440" s="10" t="str">
        <f t="shared" si="12"/>
        <v>Fair</v>
      </c>
      <c r="P440" s="10" t="str">
        <f t="shared" si="13"/>
        <v>Low</v>
      </c>
    </row>
    <row r="441" spans="1:16" x14ac:dyDescent="0.25">
      <c r="A441" s="9" t="s">
        <v>489</v>
      </c>
      <c r="B441" s="15">
        <v>45107</v>
      </c>
      <c r="C441" s="9">
        <v>26</v>
      </c>
      <c r="D441" s="9" t="s">
        <v>9</v>
      </c>
      <c r="E441" s="16">
        <v>2106820</v>
      </c>
      <c r="F441" s="9">
        <v>746</v>
      </c>
      <c r="G441" s="16">
        <v>490006</v>
      </c>
      <c r="H441" s="17">
        <v>21</v>
      </c>
      <c r="I441" s="9">
        <v>24</v>
      </c>
      <c r="J441" s="9" t="s">
        <v>10</v>
      </c>
      <c r="K441" s="18">
        <v>0.57999999999999996</v>
      </c>
      <c r="L441" s="9" t="s">
        <v>20</v>
      </c>
      <c r="M441" s="9" t="s">
        <v>2</v>
      </c>
      <c r="N441" s="9">
        <v>0</v>
      </c>
      <c r="O441" s="9" t="str">
        <f t="shared" si="12"/>
        <v>Excellent</v>
      </c>
      <c r="P441" s="9" t="str">
        <f t="shared" si="13"/>
        <v>High</v>
      </c>
    </row>
    <row r="442" spans="1:16" x14ac:dyDescent="0.25">
      <c r="A442" s="10" t="s">
        <v>490</v>
      </c>
      <c r="B442" s="11">
        <v>45049</v>
      </c>
      <c r="C442" s="10">
        <v>59</v>
      </c>
      <c r="D442" s="10" t="s">
        <v>9</v>
      </c>
      <c r="E442" s="12">
        <v>449433</v>
      </c>
      <c r="F442" s="10">
        <v>333</v>
      </c>
      <c r="G442" s="12">
        <v>205845</v>
      </c>
      <c r="H442" s="13">
        <v>11</v>
      </c>
      <c r="I442" s="10">
        <v>12</v>
      </c>
      <c r="J442" s="10" t="s">
        <v>11</v>
      </c>
      <c r="K442" s="14">
        <v>0.5</v>
      </c>
      <c r="L442" s="10" t="s">
        <v>22</v>
      </c>
      <c r="M442" s="10" t="s">
        <v>2</v>
      </c>
      <c r="N442" s="10">
        <v>1</v>
      </c>
      <c r="O442" s="10" t="str">
        <f t="shared" si="12"/>
        <v>Poor</v>
      </c>
      <c r="P442" s="10" t="str">
        <f t="shared" si="13"/>
        <v>High</v>
      </c>
    </row>
    <row r="443" spans="1:16" x14ac:dyDescent="0.25">
      <c r="A443" s="9" t="s">
        <v>491</v>
      </c>
      <c r="B443" s="15">
        <v>45727</v>
      </c>
      <c r="C443" s="9">
        <v>34</v>
      </c>
      <c r="D443" s="9" t="s">
        <v>16</v>
      </c>
      <c r="E443" s="16">
        <v>348110</v>
      </c>
      <c r="F443" s="9">
        <v>400</v>
      </c>
      <c r="G443" s="16">
        <v>1972767</v>
      </c>
      <c r="H443" s="17">
        <v>11</v>
      </c>
      <c r="I443" s="9">
        <v>60</v>
      </c>
      <c r="J443" s="9" t="s">
        <v>10</v>
      </c>
      <c r="K443" s="18">
        <v>0.49</v>
      </c>
      <c r="L443" s="9" t="s">
        <v>19</v>
      </c>
      <c r="M443" s="9" t="s">
        <v>3</v>
      </c>
      <c r="N443" s="9">
        <v>1</v>
      </c>
      <c r="O443" s="9" t="str">
        <f t="shared" si="12"/>
        <v>Poor</v>
      </c>
      <c r="P443" s="9" t="str">
        <f t="shared" si="13"/>
        <v>High</v>
      </c>
    </row>
    <row r="444" spans="1:16" x14ac:dyDescent="0.25">
      <c r="A444" s="10" t="s">
        <v>492</v>
      </c>
      <c r="B444" s="11">
        <v>45315</v>
      </c>
      <c r="C444" s="10">
        <v>29</v>
      </c>
      <c r="D444" s="10" t="s">
        <v>17</v>
      </c>
      <c r="E444" s="12">
        <v>1612002</v>
      </c>
      <c r="F444" s="10">
        <v>605</v>
      </c>
      <c r="G444" s="12">
        <v>1822989</v>
      </c>
      <c r="H444" s="13">
        <v>18</v>
      </c>
      <c r="I444" s="10">
        <v>36</v>
      </c>
      <c r="J444" s="10" t="s">
        <v>12</v>
      </c>
      <c r="K444" s="14">
        <v>0.35</v>
      </c>
      <c r="L444" s="10" t="s">
        <v>21</v>
      </c>
      <c r="M444" s="10" t="s">
        <v>5</v>
      </c>
      <c r="N444" s="10">
        <v>1</v>
      </c>
      <c r="O444" s="10" t="str">
        <f t="shared" si="12"/>
        <v>Fair</v>
      </c>
      <c r="P444" s="10" t="str">
        <f t="shared" si="13"/>
        <v>Medium</v>
      </c>
    </row>
    <row r="445" spans="1:16" x14ac:dyDescent="0.25">
      <c r="A445" s="9" t="s">
        <v>493</v>
      </c>
      <c r="B445" s="15">
        <v>45891</v>
      </c>
      <c r="C445" s="9">
        <v>48</v>
      </c>
      <c r="D445" s="9" t="s">
        <v>17</v>
      </c>
      <c r="E445" s="16">
        <v>871341</v>
      </c>
      <c r="F445" s="9">
        <v>641</v>
      </c>
      <c r="G445" s="16">
        <v>484372</v>
      </c>
      <c r="H445" s="17">
        <v>24</v>
      </c>
      <c r="I445" s="9">
        <v>24</v>
      </c>
      <c r="J445" s="9" t="s">
        <v>10</v>
      </c>
      <c r="K445" s="18">
        <v>0.24</v>
      </c>
      <c r="L445" s="9" t="s">
        <v>18</v>
      </c>
      <c r="M445" s="9" t="s">
        <v>4</v>
      </c>
      <c r="N445" s="9">
        <v>0</v>
      </c>
      <c r="O445" s="9" t="str">
        <f t="shared" si="12"/>
        <v>Fair</v>
      </c>
      <c r="P445" s="9" t="str">
        <f t="shared" si="13"/>
        <v>Medium</v>
      </c>
    </row>
    <row r="446" spans="1:16" x14ac:dyDescent="0.25">
      <c r="A446" s="10" t="s">
        <v>494</v>
      </c>
      <c r="B446" s="11">
        <v>45609</v>
      </c>
      <c r="C446" s="10">
        <v>24</v>
      </c>
      <c r="D446" s="10" t="s">
        <v>9</v>
      </c>
      <c r="E446" s="12">
        <v>1715005</v>
      </c>
      <c r="F446" s="10">
        <v>771</v>
      </c>
      <c r="G446" s="12">
        <v>792679</v>
      </c>
      <c r="H446" s="13">
        <v>9</v>
      </c>
      <c r="I446" s="10">
        <v>36</v>
      </c>
      <c r="J446" s="10" t="s">
        <v>11</v>
      </c>
      <c r="K446" s="14">
        <v>0.26</v>
      </c>
      <c r="L446" s="10" t="s">
        <v>21</v>
      </c>
      <c r="M446" s="10" t="s">
        <v>5</v>
      </c>
      <c r="N446" s="10">
        <v>0</v>
      </c>
      <c r="O446" s="10" t="str">
        <f t="shared" si="12"/>
        <v>Excellent</v>
      </c>
      <c r="P446" s="10" t="str">
        <f t="shared" si="13"/>
        <v>Medium</v>
      </c>
    </row>
    <row r="447" spans="1:16" x14ac:dyDescent="0.25">
      <c r="A447" s="9" t="s">
        <v>495</v>
      </c>
      <c r="B447" s="15">
        <v>45499</v>
      </c>
      <c r="C447" s="9">
        <v>55</v>
      </c>
      <c r="D447" s="9" t="s">
        <v>16</v>
      </c>
      <c r="E447" s="16">
        <v>2164660</v>
      </c>
      <c r="F447" s="9">
        <v>511</v>
      </c>
      <c r="G447" s="16">
        <v>1067777</v>
      </c>
      <c r="H447" s="17">
        <v>17</v>
      </c>
      <c r="I447" s="9">
        <v>12</v>
      </c>
      <c r="J447" s="9" t="s">
        <v>11</v>
      </c>
      <c r="K447" s="18">
        <v>0.48</v>
      </c>
      <c r="L447" s="9" t="s">
        <v>19</v>
      </c>
      <c r="M447" s="9" t="s">
        <v>3</v>
      </c>
      <c r="N447" s="9">
        <v>1</v>
      </c>
      <c r="O447" s="9" t="str">
        <f t="shared" si="12"/>
        <v>Poor</v>
      </c>
      <c r="P447" s="9" t="str">
        <f t="shared" si="13"/>
        <v>High</v>
      </c>
    </row>
    <row r="448" spans="1:16" x14ac:dyDescent="0.25">
      <c r="A448" s="10" t="s">
        <v>496</v>
      </c>
      <c r="B448" s="11">
        <v>45370</v>
      </c>
      <c r="C448" s="10">
        <v>60</v>
      </c>
      <c r="D448" s="10" t="s">
        <v>17</v>
      </c>
      <c r="E448" s="12">
        <v>529856</v>
      </c>
      <c r="F448" s="10">
        <v>719</v>
      </c>
      <c r="G448" s="12">
        <v>157945</v>
      </c>
      <c r="H448" s="13">
        <v>16</v>
      </c>
      <c r="I448" s="10">
        <v>12</v>
      </c>
      <c r="J448" s="10" t="s">
        <v>13</v>
      </c>
      <c r="K448" s="14">
        <v>0.22</v>
      </c>
      <c r="L448" s="10" t="s">
        <v>21</v>
      </c>
      <c r="M448" s="10" t="s">
        <v>5</v>
      </c>
      <c r="N448" s="10">
        <v>0</v>
      </c>
      <c r="O448" s="10" t="str">
        <f t="shared" si="12"/>
        <v>Good</v>
      </c>
      <c r="P448" s="10" t="str">
        <f t="shared" si="13"/>
        <v>Medium</v>
      </c>
    </row>
    <row r="449" spans="1:16" x14ac:dyDescent="0.25">
      <c r="A449" s="9" t="s">
        <v>497</v>
      </c>
      <c r="B449" s="15">
        <v>45969</v>
      </c>
      <c r="C449" s="9">
        <v>23</v>
      </c>
      <c r="D449" s="9" t="s">
        <v>9</v>
      </c>
      <c r="E449" s="16">
        <v>1557122</v>
      </c>
      <c r="F449" s="9">
        <v>660</v>
      </c>
      <c r="G449" s="16">
        <v>1597669</v>
      </c>
      <c r="H449" s="17">
        <v>19</v>
      </c>
      <c r="I449" s="9">
        <v>36</v>
      </c>
      <c r="J449" s="9" t="s">
        <v>9</v>
      </c>
      <c r="K449" s="18">
        <v>0.56999999999999995</v>
      </c>
      <c r="L449" s="9" t="s">
        <v>19</v>
      </c>
      <c r="M449" s="9" t="s">
        <v>4</v>
      </c>
      <c r="N449" s="9">
        <v>1</v>
      </c>
      <c r="O449" s="9" t="str">
        <f t="shared" si="12"/>
        <v>Fair</v>
      </c>
      <c r="P449" s="9" t="str">
        <f t="shared" si="13"/>
        <v>High</v>
      </c>
    </row>
    <row r="450" spans="1:16" x14ac:dyDescent="0.25">
      <c r="A450" s="10" t="s">
        <v>498</v>
      </c>
      <c r="B450" s="11">
        <v>45213</v>
      </c>
      <c r="C450" s="10">
        <v>60</v>
      </c>
      <c r="D450" s="10" t="s">
        <v>17</v>
      </c>
      <c r="E450" s="12">
        <v>352843</v>
      </c>
      <c r="F450" s="10">
        <v>545</v>
      </c>
      <c r="G450" s="12">
        <v>407941</v>
      </c>
      <c r="H450" s="13">
        <v>19</v>
      </c>
      <c r="I450" s="10">
        <v>12</v>
      </c>
      <c r="J450" s="10" t="s">
        <v>13</v>
      </c>
      <c r="K450" s="14">
        <v>0.6</v>
      </c>
      <c r="L450" s="10" t="s">
        <v>18</v>
      </c>
      <c r="M450" s="10" t="s">
        <v>3</v>
      </c>
      <c r="N450" s="10">
        <v>1</v>
      </c>
      <c r="O450" s="10" t="str">
        <f t="shared" ref="O450:O501" si="14">IF(F450&lt;580,"Poor",IF(F450&lt;670,"Fair",IF(F450&lt;740,"Good","Excellent")))</f>
        <v>Poor</v>
      </c>
      <c r="P450" s="10" t="str">
        <f t="shared" ref="P450:P501" si="15">IF(K450&lt;0.2,"Low",IF(K450&lt;0.4,"Medium","High"))</f>
        <v>High</v>
      </c>
    </row>
    <row r="451" spans="1:16" x14ac:dyDescent="0.25">
      <c r="A451" s="9" t="s">
        <v>499</v>
      </c>
      <c r="B451" s="15">
        <v>45955</v>
      </c>
      <c r="C451" s="9">
        <v>60</v>
      </c>
      <c r="D451" s="9" t="s">
        <v>17</v>
      </c>
      <c r="E451" s="16">
        <v>491715</v>
      </c>
      <c r="F451" s="9">
        <v>389</v>
      </c>
      <c r="G451" s="16">
        <v>1555411</v>
      </c>
      <c r="H451" s="17">
        <v>9</v>
      </c>
      <c r="I451" s="9">
        <v>36</v>
      </c>
      <c r="J451" s="9" t="s">
        <v>12</v>
      </c>
      <c r="K451" s="18">
        <v>0.38</v>
      </c>
      <c r="L451" s="9" t="s">
        <v>22</v>
      </c>
      <c r="M451" s="9" t="s">
        <v>4</v>
      </c>
      <c r="N451" s="9">
        <v>1</v>
      </c>
      <c r="O451" s="9" t="str">
        <f t="shared" si="14"/>
        <v>Poor</v>
      </c>
      <c r="P451" s="9" t="str">
        <f t="shared" si="15"/>
        <v>Medium</v>
      </c>
    </row>
    <row r="452" spans="1:16" x14ac:dyDescent="0.25">
      <c r="A452" s="10" t="s">
        <v>500</v>
      </c>
      <c r="B452" s="11">
        <v>45618</v>
      </c>
      <c r="C452" s="10">
        <v>54</v>
      </c>
      <c r="D452" s="10" t="s">
        <v>16</v>
      </c>
      <c r="E452" s="12">
        <v>1463151</v>
      </c>
      <c r="F452" s="10">
        <v>729</v>
      </c>
      <c r="G452" s="12">
        <v>1452009</v>
      </c>
      <c r="H452" s="13">
        <v>8</v>
      </c>
      <c r="I452" s="10">
        <v>24</v>
      </c>
      <c r="J452" s="10" t="s">
        <v>12</v>
      </c>
      <c r="K452" s="14">
        <v>0.42</v>
      </c>
      <c r="L452" s="10" t="s">
        <v>21</v>
      </c>
      <c r="M452" s="10" t="s">
        <v>2</v>
      </c>
      <c r="N452" s="10">
        <v>0</v>
      </c>
      <c r="O452" s="10" t="str">
        <f t="shared" si="14"/>
        <v>Good</v>
      </c>
      <c r="P452" s="10" t="str">
        <f t="shared" si="15"/>
        <v>High</v>
      </c>
    </row>
    <row r="453" spans="1:16" x14ac:dyDescent="0.25">
      <c r="A453" s="9" t="s">
        <v>501</v>
      </c>
      <c r="B453" s="15">
        <v>45229</v>
      </c>
      <c r="C453" s="9">
        <v>32</v>
      </c>
      <c r="D453" s="9" t="s">
        <v>16</v>
      </c>
      <c r="E453" s="16">
        <v>1497999</v>
      </c>
      <c r="F453" s="9">
        <v>628</v>
      </c>
      <c r="G453" s="16">
        <v>604690</v>
      </c>
      <c r="H453" s="17">
        <v>8</v>
      </c>
      <c r="I453" s="9">
        <v>12</v>
      </c>
      <c r="J453" s="9" t="s">
        <v>12</v>
      </c>
      <c r="K453" s="18">
        <v>0.5</v>
      </c>
      <c r="L453" s="9" t="s">
        <v>21</v>
      </c>
      <c r="M453" s="9" t="s">
        <v>3</v>
      </c>
      <c r="N453" s="9">
        <v>0</v>
      </c>
      <c r="O453" s="9" t="str">
        <f t="shared" si="14"/>
        <v>Fair</v>
      </c>
      <c r="P453" s="9" t="str">
        <f t="shared" si="15"/>
        <v>High</v>
      </c>
    </row>
    <row r="454" spans="1:16" x14ac:dyDescent="0.25">
      <c r="A454" s="10" t="s">
        <v>502</v>
      </c>
      <c r="B454" s="11">
        <v>45428</v>
      </c>
      <c r="C454" s="10">
        <v>31</v>
      </c>
      <c r="D454" s="10" t="s">
        <v>17</v>
      </c>
      <c r="E454" s="12">
        <v>2229388</v>
      </c>
      <c r="F454" s="10">
        <v>352</v>
      </c>
      <c r="G454" s="12">
        <v>1952293</v>
      </c>
      <c r="H454" s="13">
        <v>18</v>
      </c>
      <c r="I454" s="10">
        <v>24</v>
      </c>
      <c r="J454" s="10" t="s">
        <v>13</v>
      </c>
      <c r="K454" s="14">
        <v>0.47</v>
      </c>
      <c r="L454" s="10" t="s">
        <v>19</v>
      </c>
      <c r="M454" s="10" t="s">
        <v>2</v>
      </c>
      <c r="N454" s="10">
        <v>0</v>
      </c>
      <c r="O454" s="10" t="str">
        <f t="shared" si="14"/>
        <v>Poor</v>
      </c>
      <c r="P454" s="10" t="str">
        <f t="shared" si="15"/>
        <v>High</v>
      </c>
    </row>
    <row r="455" spans="1:16" x14ac:dyDescent="0.25">
      <c r="A455" s="9" t="s">
        <v>503</v>
      </c>
      <c r="B455" s="15">
        <v>45464</v>
      </c>
      <c r="C455" s="9">
        <v>54</v>
      </c>
      <c r="D455" s="9" t="s">
        <v>16</v>
      </c>
      <c r="E455" s="16">
        <v>889113</v>
      </c>
      <c r="F455" s="9">
        <v>435</v>
      </c>
      <c r="G455" s="16">
        <v>214914</v>
      </c>
      <c r="H455" s="17">
        <v>16</v>
      </c>
      <c r="I455" s="9">
        <v>36</v>
      </c>
      <c r="J455" s="9" t="s">
        <v>10</v>
      </c>
      <c r="K455" s="18">
        <v>0.24</v>
      </c>
      <c r="L455" s="9" t="s">
        <v>21</v>
      </c>
      <c r="M455" s="9" t="s">
        <v>3</v>
      </c>
      <c r="N455" s="9">
        <v>0</v>
      </c>
      <c r="O455" s="9" t="str">
        <f t="shared" si="14"/>
        <v>Poor</v>
      </c>
      <c r="P455" s="9" t="str">
        <f t="shared" si="15"/>
        <v>Medium</v>
      </c>
    </row>
    <row r="456" spans="1:16" x14ac:dyDescent="0.25">
      <c r="A456" s="10" t="s">
        <v>504</v>
      </c>
      <c r="B456" s="11">
        <v>45342</v>
      </c>
      <c r="C456" s="10">
        <v>31</v>
      </c>
      <c r="D456" s="10" t="s">
        <v>17</v>
      </c>
      <c r="E456" s="12">
        <v>1409051</v>
      </c>
      <c r="F456" s="10">
        <v>444</v>
      </c>
      <c r="G456" s="12">
        <v>1454486</v>
      </c>
      <c r="H456" s="13">
        <v>16</v>
      </c>
      <c r="I456" s="10">
        <v>36</v>
      </c>
      <c r="J456" s="10" t="s">
        <v>11</v>
      </c>
      <c r="K456" s="14">
        <v>0.51</v>
      </c>
      <c r="L456" s="10" t="s">
        <v>20</v>
      </c>
      <c r="M456" s="10" t="s">
        <v>5</v>
      </c>
      <c r="N456" s="10">
        <v>0</v>
      </c>
      <c r="O456" s="10" t="str">
        <f t="shared" si="14"/>
        <v>Poor</v>
      </c>
      <c r="P456" s="10" t="str">
        <f t="shared" si="15"/>
        <v>High</v>
      </c>
    </row>
    <row r="457" spans="1:16" x14ac:dyDescent="0.25">
      <c r="A457" s="9" t="s">
        <v>505</v>
      </c>
      <c r="B457" s="15">
        <v>45752</v>
      </c>
      <c r="C457" s="9">
        <v>21</v>
      </c>
      <c r="D457" s="9" t="s">
        <v>17</v>
      </c>
      <c r="E457" s="16">
        <v>2190046</v>
      </c>
      <c r="F457" s="9">
        <v>591</v>
      </c>
      <c r="G457" s="16">
        <v>325586</v>
      </c>
      <c r="H457" s="17">
        <v>20</v>
      </c>
      <c r="I457" s="9">
        <v>12</v>
      </c>
      <c r="J457" s="9" t="s">
        <v>13</v>
      </c>
      <c r="K457" s="18">
        <v>0.38</v>
      </c>
      <c r="L457" s="9" t="s">
        <v>22</v>
      </c>
      <c r="M457" s="9" t="s">
        <v>2</v>
      </c>
      <c r="N457" s="9">
        <v>1</v>
      </c>
      <c r="O457" s="9" t="str">
        <f t="shared" si="14"/>
        <v>Fair</v>
      </c>
      <c r="P457" s="9" t="str">
        <f t="shared" si="15"/>
        <v>Medium</v>
      </c>
    </row>
    <row r="458" spans="1:16" x14ac:dyDescent="0.25">
      <c r="A458" s="10" t="s">
        <v>506</v>
      </c>
      <c r="B458" s="11">
        <v>45188</v>
      </c>
      <c r="C458" s="10">
        <v>35</v>
      </c>
      <c r="D458" s="10" t="s">
        <v>17</v>
      </c>
      <c r="E458" s="12">
        <v>796049</v>
      </c>
      <c r="F458" s="10">
        <v>690</v>
      </c>
      <c r="G458" s="12">
        <v>863376</v>
      </c>
      <c r="H458" s="13">
        <v>10</v>
      </c>
      <c r="I458" s="10">
        <v>12</v>
      </c>
      <c r="J458" s="10" t="s">
        <v>10</v>
      </c>
      <c r="K458" s="14">
        <v>0.18</v>
      </c>
      <c r="L458" s="10" t="s">
        <v>20</v>
      </c>
      <c r="M458" s="10" t="s">
        <v>5</v>
      </c>
      <c r="N458" s="10">
        <v>0</v>
      </c>
      <c r="O458" s="10" t="str">
        <f t="shared" si="14"/>
        <v>Good</v>
      </c>
      <c r="P458" s="10" t="str">
        <f t="shared" si="15"/>
        <v>Low</v>
      </c>
    </row>
    <row r="459" spans="1:16" x14ac:dyDescent="0.25">
      <c r="A459" s="9" t="s">
        <v>507</v>
      </c>
      <c r="B459" s="15">
        <v>45299</v>
      </c>
      <c r="C459" s="9">
        <v>31</v>
      </c>
      <c r="D459" s="9" t="s">
        <v>17</v>
      </c>
      <c r="E459" s="16">
        <v>1208106</v>
      </c>
      <c r="F459" s="9">
        <v>847</v>
      </c>
      <c r="G459" s="16">
        <v>489285</v>
      </c>
      <c r="H459" s="17">
        <v>14</v>
      </c>
      <c r="I459" s="9">
        <v>36</v>
      </c>
      <c r="J459" s="9" t="s">
        <v>11</v>
      </c>
      <c r="K459" s="18">
        <v>0.37</v>
      </c>
      <c r="L459" s="9" t="s">
        <v>18</v>
      </c>
      <c r="M459" s="9" t="s">
        <v>3</v>
      </c>
      <c r="N459" s="9">
        <v>0</v>
      </c>
      <c r="O459" s="9" t="str">
        <f t="shared" si="14"/>
        <v>Excellent</v>
      </c>
      <c r="P459" s="9" t="str">
        <f t="shared" si="15"/>
        <v>Medium</v>
      </c>
    </row>
    <row r="460" spans="1:16" x14ac:dyDescent="0.25">
      <c r="A460" s="10" t="s">
        <v>508</v>
      </c>
      <c r="B460" s="11">
        <v>45552</v>
      </c>
      <c r="C460" s="10">
        <v>32</v>
      </c>
      <c r="D460" s="10" t="s">
        <v>9</v>
      </c>
      <c r="E460" s="12">
        <v>765883</v>
      </c>
      <c r="F460" s="10">
        <v>506</v>
      </c>
      <c r="G460" s="12">
        <v>1095873</v>
      </c>
      <c r="H460" s="13">
        <v>8</v>
      </c>
      <c r="I460" s="10">
        <v>60</v>
      </c>
      <c r="J460" s="10" t="s">
        <v>10</v>
      </c>
      <c r="K460" s="14">
        <v>0.6</v>
      </c>
      <c r="L460" s="10" t="s">
        <v>20</v>
      </c>
      <c r="M460" s="10" t="s">
        <v>5</v>
      </c>
      <c r="N460" s="10">
        <v>1</v>
      </c>
      <c r="O460" s="10" t="str">
        <f t="shared" si="14"/>
        <v>Poor</v>
      </c>
      <c r="P460" s="10" t="str">
        <f t="shared" si="15"/>
        <v>High</v>
      </c>
    </row>
    <row r="461" spans="1:16" x14ac:dyDescent="0.25">
      <c r="A461" s="9" t="s">
        <v>509</v>
      </c>
      <c r="B461" s="15">
        <v>45545</v>
      </c>
      <c r="C461" s="9">
        <v>48</v>
      </c>
      <c r="D461" s="9" t="s">
        <v>16</v>
      </c>
      <c r="E461" s="16">
        <v>1532518</v>
      </c>
      <c r="F461" s="9">
        <v>550</v>
      </c>
      <c r="G461" s="16">
        <v>1197216</v>
      </c>
      <c r="H461" s="17">
        <v>16</v>
      </c>
      <c r="I461" s="9">
        <v>36</v>
      </c>
      <c r="J461" s="9" t="s">
        <v>11</v>
      </c>
      <c r="K461" s="18">
        <v>0.12</v>
      </c>
      <c r="L461" s="9" t="s">
        <v>19</v>
      </c>
      <c r="M461" s="9" t="s">
        <v>2</v>
      </c>
      <c r="N461" s="9">
        <v>1</v>
      </c>
      <c r="O461" s="9" t="str">
        <f t="shared" si="14"/>
        <v>Poor</v>
      </c>
      <c r="P461" s="9" t="str">
        <f t="shared" si="15"/>
        <v>Low</v>
      </c>
    </row>
    <row r="462" spans="1:16" x14ac:dyDescent="0.25">
      <c r="A462" s="10" t="s">
        <v>510</v>
      </c>
      <c r="B462" s="11">
        <v>45933</v>
      </c>
      <c r="C462" s="10">
        <v>52</v>
      </c>
      <c r="D462" s="10" t="s">
        <v>9</v>
      </c>
      <c r="E462" s="12">
        <v>1753297</v>
      </c>
      <c r="F462" s="10">
        <v>676</v>
      </c>
      <c r="G462" s="12">
        <v>149067</v>
      </c>
      <c r="H462" s="13">
        <v>20</v>
      </c>
      <c r="I462" s="10">
        <v>60</v>
      </c>
      <c r="J462" s="10" t="s">
        <v>12</v>
      </c>
      <c r="K462" s="14">
        <v>0.31</v>
      </c>
      <c r="L462" s="10" t="s">
        <v>21</v>
      </c>
      <c r="M462" s="10" t="s">
        <v>5</v>
      </c>
      <c r="N462" s="10">
        <v>0</v>
      </c>
      <c r="O462" s="10" t="str">
        <f t="shared" si="14"/>
        <v>Good</v>
      </c>
      <c r="P462" s="10" t="str">
        <f t="shared" si="15"/>
        <v>Medium</v>
      </c>
    </row>
    <row r="463" spans="1:16" x14ac:dyDescent="0.25">
      <c r="A463" s="9" t="s">
        <v>511</v>
      </c>
      <c r="B463" s="15">
        <v>45928</v>
      </c>
      <c r="C463" s="9">
        <v>59</v>
      </c>
      <c r="D463" s="9" t="s">
        <v>16</v>
      </c>
      <c r="E463" s="16">
        <v>1032433</v>
      </c>
      <c r="F463" s="9">
        <v>550</v>
      </c>
      <c r="G463" s="16">
        <v>1290993</v>
      </c>
      <c r="H463" s="17">
        <v>18</v>
      </c>
      <c r="I463" s="9">
        <v>36</v>
      </c>
      <c r="J463" s="9" t="s">
        <v>9</v>
      </c>
      <c r="K463" s="18">
        <v>0.25</v>
      </c>
      <c r="L463" s="9" t="s">
        <v>20</v>
      </c>
      <c r="M463" s="9" t="s">
        <v>5</v>
      </c>
      <c r="N463" s="9">
        <v>0</v>
      </c>
      <c r="O463" s="9" t="str">
        <f t="shared" si="14"/>
        <v>Poor</v>
      </c>
      <c r="P463" s="9" t="str">
        <f t="shared" si="15"/>
        <v>Medium</v>
      </c>
    </row>
    <row r="464" spans="1:16" x14ac:dyDescent="0.25">
      <c r="A464" s="10" t="s">
        <v>512</v>
      </c>
      <c r="B464" s="11">
        <v>45912</v>
      </c>
      <c r="C464" s="10">
        <v>21</v>
      </c>
      <c r="D464" s="10" t="s">
        <v>17</v>
      </c>
      <c r="E464" s="12">
        <v>1135679</v>
      </c>
      <c r="F464" s="10">
        <v>465</v>
      </c>
      <c r="G464" s="12">
        <v>1083457</v>
      </c>
      <c r="H464" s="13">
        <v>8</v>
      </c>
      <c r="I464" s="10">
        <v>60</v>
      </c>
      <c r="J464" s="10" t="s">
        <v>11</v>
      </c>
      <c r="K464" s="14">
        <v>0.37</v>
      </c>
      <c r="L464" s="10" t="s">
        <v>21</v>
      </c>
      <c r="M464" s="10" t="s">
        <v>3</v>
      </c>
      <c r="N464" s="10">
        <v>0</v>
      </c>
      <c r="O464" s="10" t="str">
        <f t="shared" si="14"/>
        <v>Poor</v>
      </c>
      <c r="P464" s="10" t="str">
        <f t="shared" si="15"/>
        <v>Medium</v>
      </c>
    </row>
    <row r="465" spans="1:16" x14ac:dyDescent="0.25">
      <c r="A465" s="9" t="s">
        <v>513</v>
      </c>
      <c r="B465" s="15">
        <v>45190</v>
      </c>
      <c r="C465" s="9">
        <v>60</v>
      </c>
      <c r="D465" s="9" t="s">
        <v>9</v>
      </c>
      <c r="E465" s="16">
        <v>515630</v>
      </c>
      <c r="F465" s="9">
        <v>752</v>
      </c>
      <c r="G465" s="16">
        <v>1967539</v>
      </c>
      <c r="H465" s="17">
        <v>6</v>
      </c>
      <c r="I465" s="9">
        <v>24</v>
      </c>
      <c r="J465" s="9" t="s">
        <v>12</v>
      </c>
      <c r="K465" s="18">
        <v>0.19</v>
      </c>
      <c r="L465" s="9" t="s">
        <v>21</v>
      </c>
      <c r="M465" s="9" t="s">
        <v>2</v>
      </c>
      <c r="N465" s="9">
        <v>0</v>
      </c>
      <c r="O465" s="9" t="str">
        <f t="shared" si="14"/>
        <v>Excellent</v>
      </c>
      <c r="P465" s="9" t="str">
        <f t="shared" si="15"/>
        <v>Low</v>
      </c>
    </row>
    <row r="466" spans="1:16" x14ac:dyDescent="0.25">
      <c r="A466" s="10" t="s">
        <v>514</v>
      </c>
      <c r="B466" s="11">
        <v>45001</v>
      </c>
      <c r="C466" s="10">
        <v>63</v>
      </c>
      <c r="D466" s="10" t="s">
        <v>17</v>
      </c>
      <c r="E466" s="12">
        <v>441160</v>
      </c>
      <c r="F466" s="10">
        <v>684</v>
      </c>
      <c r="G466" s="12">
        <v>467062</v>
      </c>
      <c r="H466" s="13">
        <v>12</v>
      </c>
      <c r="I466" s="10">
        <v>36</v>
      </c>
      <c r="J466" s="10" t="s">
        <v>9</v>
      </c>
      <c r="K466" s="14">
        <v>0.33</v>
      </c>
      <c r="L466" s="10" t="s">
        <v>20</v>
      </c>
      <c r="M466" s="10" t="s">
        <v>2</v>
      </c>
      <c r="N466" s="10">
        <v>1</v>
      </c>
      <c r="O466" s="10" t="str">
        <f t="shared" si="14"/>
        <v>Good</v>
      </c>
      <c r="P466" s="10" t="str">
        <f t="shared" si="15"/>
        <v>Medium</v>
      </c>
    </row>
    <row r="467" spans="1:16" x14ac:dyDescent="0.25">
      <c r="A467" s="9" t="s">
        <v>515</v>
      </c>
      <c r="B467" s="15">
        <v>45543</v>
      </c>
      <c r="C467" s="9">
        <v>51</v>
      </c>
      <c r="D467" s="9" t="s">
        <v>16</v>
      </c>
      <c r="E467" s="16">
        <v>739866</v>
      </c>
      <c r="F467" s="9">
        <v>513</v>
      </c>
      <c r="G467" s="16">
        <v>1535884</v>
      </c>
      <c r="H467" s="17">
        <v>8</v>
      </c>
      <c r="I467" s="9">
        <v>60</v>
      </c>
      <c r="J467" s="9" t="s">
        <v>13</v>
      </c>
      <c r="K467" s="18">
        <v>0.33</v>
      </c>
      <c r="L467" s="9" t="s">
        <v>18</v>
      </c>
      <c r="M467" s="9" t="s">
        <v>3</v>
      </c>
      <c r="N467" s="9">
        <v>0</v>
      </c>
      <c r="O467" s="9" t="str">
        <f t="shared" si="14"/>
        <v>Poor</v>
      </c>
      <c r="P467" s="9" t="str">
        <f t="shared" si="15"/>
        <v>Medium</v>
      </c>
    </row>
    <row r="468" spans="1:16" x14ac:dyDescent="0.25">
      <c r="A468" s="10" t="s">
        <v>516</v>
      </c>
      <c r="B468" s="11">
        <v>45024</v>
      </c>
      <c r="C468" s="10">
        <v>30</v>
      </c>
      <c r="D468" s="10" t="s">
        <v>17</v>
      </c>
      <c r="E468" s="12">
        <v>1915220</v>
      </c>
      <c r="F468" s="10">
        <v>373</v>
      </c>
      <c r="G468" s="12">
        <v>67867</v>
      </c>
      <c r="H468" s="13">
        <v>19</v>
      </c>
      <c r="I468" s="10">
        <v>60</v>
      </c>
      <c r="J468" s="10" t="s">
        <v>10</v>
      </c>
      <c r="K468" s="14">
        <v>0.32</v>
      </c>
      <c r="L468" s="10" t="s">
        <v>22</v>
      </c>
      <c r="M468" s="10" t="s">
        <v>4</v>
      </c>
      <c r="N468" s="10">
        <v>0</v>
      </c>
      <c r="O468" s="10" t="str">
        <f t="shared" si="14"/>
        <v>Poor</v>
      </c>
      <c r="P468" s="10" t="str">
        <f t="shared" si="15"/>
        <v>Medium</v>
      </c>
    </row>
    <row r="469" spans="1:16" x14ac:dyDescent="0.25">
      <c r="A469" s="9" t="s">
        <v>517</v>
      </c>
      <c r="B469" s="15">
        <v>45766</v>
      </c>
      <c r="C469" s="9">
        <v>46</v>
      </c>
      <c r="D469" s="9" t="s">
        <v>16</v>
      </c>
      <c r="E469" s="16">
        <v>1738020</v>
      </c>
      <c r="F469" s="9">
        <v>571</v>
      </c>
      <c r="G469" s="16">
        <v>1703309</v>
      </c>
      <c r="H469" s="17">
        <v>6</v>
      </c>
      <c r="I469" s="9">
        <v>36</v>
      </c>
      <c r="J469" s="9" t="s">
        <v>14</v>
      </c>
      <c r="K469" s="18">
        <v>0.21</v>
      </c>
      <c r="L469" s="9" t="s">
        <v>20</v>
      </c>
      <c r="M469" s="9" t="s">
        <v>2</v>
      </c>
      <c r="N469" s="9">
        <v>1</v>
      </c>
      <c r="O469" s="9" t="str">
        <f t="shared" si="14"/>
        <v>Poor</v>
      </c>
      <c r="P469" s="9" t="str">
        <f t="shared" si="15"/>
        <v>Medium</v>
      </c>
    </row>
    <row r="470" spans="1:16" x14ac:dyDescent="0.25">
      <c r="A470" s="10" t="s">
        <v>518</v>
      </c>
      <c r="B470" s="11">
        <v>45015</v>
      </c>
      <c r="C470" s="10">
        <v>32</v>
      </c>
      <c r="D470" s="10" t="s">
        <v>16</v>
      </c>
      <c r="E470" s="12">
        <v>1574703</v>
      </c>
      <c r="F470" s="10">
        <v>425</v>
      </c>
      <c r="G470" s="12">
        <v>1736420</v>
      </c>
      <c r="H470" s="13">
        <v>23</v>
      </c>
      <c r="I470" s="10">
        <v>36</v>
      </c>
      <c r="J470" s="10" t="s">
        <v>9</v>
      </c>
      <c r="K470" s="14">
        <v>0.27</v>
      </c>
      <c r="L470" s="10" t="s">
        <v>19</v>
      </c>
      <c r="M470" s="10" t="s">
        <v>4</v>
      </c>
      <c r="N470" s="10">
        <v>0</v>
      </c>
      <c r="O470" s="10" t="str">
        <f t="shared" si="14"/>
        <v>Poor</v>
      </c>
      <c r="P470" s="10" t="str">
        <f t="shared" si="15"/>
        <v>Medium</v>
      </c>
    </row>
    <row r="471" spans="1:16" x14ac:dyDescent="0.25">
      <c r="A471" s="9" t="s">
        <v>519</v>
      </c>
      <c r="B471" s="15">
        <v>45981</v>
      </c>
      <c r="C471" s="9">
        <v>62</v>
      </c>
      <c r="D471" s="9" t="s">
        <v>16</v>
      </c>
      <c r="E471" s="16">
        <v>1637105</v>
      </c>
      <c r="F471" s="9">
        <v>660</v>
      </c>
      <c r="G471" s="16">
        <v>1232842</v>
      </c>
      <c r="H471" s="17">
        <v>22</v>
      </c>
      <c r="I471" s="9">
        <v>12</v>
      </c>
      <c r="J471" s="9" t="s">
        <v>13</v>
      </c>
      <c r="K471" s="18">
        <v>0.44</v>
      </c>
      <c r="L471" s="9" t="s">
        <v>21</v>
      </c>
      <c r="M471" s="9" t="s">
        <v>2</v>
      </c>
      <c r="N471" s="9">
        <v>0</v>
      </c>
      <c r="O471" s="9" t="str">
        <f t="shared" si="14"/>
        <v>Fair</v>
      </c>
      <c r="P471" s="9" t="str">
        <f t="shared" si="15"/>
        <v>High</v>
      </c>
    </row>
    <row r="472" spans="1:16" x14ac:dyDescent="0.25">
      <c r="A472" s="10" t="s">
        <v>520</v>
      </c>
      <c r="B472" s="11">
        <v>45894</v>
      </c>
      <c r="C472" s="10">
        <v>24</v>
      </c>
      <c r="D472" s="10" t="s">
        <v>16</v>
      </c>
      <c r="E472" s="12">
        <v>1615487</v>
      </c>
      <c r="F472" s="10">
        <v>487</v>
      </c>
      <c r="G472" s="12">
        <v>1370838</v>
      </c>
      <c r="H472" s="13">
        <v>9</v>
      </c>
      <c r="I472" s="10">
        <v>12</v>
      </c>
      <c r="J472" s="10" t="s">
        <v>12</v>
      </c>
      <c r="K472" s="14">
        <v>0.34</v>
      </c>
      <c r="L472" s="10" t="s">
        <v>18</v>
      </c>
      <c r="M472" s="10" t="s">
        <v>4</v>
      </c>
      <c r="N472" s="10">
        <v>0</v>
      </c>
      <c r="O472" s="10" t="str">
        <f t="shared" si="14"/>
        <v>Poor</v>
      </c>
      <c r="P472" s="10" t="str">
        <f t="shared" si="15"/>
        <v>Medium</v>
      </c>
    </row>
    <row r="473" spans="1:16" x14ac:dyDescent="0.25">
      <c r="A473" s="9" t="s">
        <v>521</v>
      </c>
      <c r="B473" s="15">
        <v>45130</v>
      </c>
      <c r="C473" s="9">
        <v>27</v>
      </c>
      <c r="D473" s="9" t="s">
        <v>9</v>
      </c>
      <c r="E473" s="16">
        <v>1922628</v>
      </c>
      <c r="F473" s="9">
        <v>558</v>
      </c>
      <c r="G473" s="16">
        <v>1254318</v>
      </c>
      <c r="H473" s="17">
        <v>20</v>
      </c>
      <c r="I473" s="9">
        <v>24</v>
      </c>
      <c r="J473" s="9" t="s">
        <v>12</v>
      </c>
      <c r="K473" s="18">
        <v>0.51</v>
      </c>
      <c r="L473" s="9" t="s">
        <v>20</v>
      </c>
      <c r="M473" s="9" t="s">
        <v>4</v>
      </c>
      <c r="N473" s="9">
        <v>1</v>
      </c>
      <c r="O473" s="9" t="str">
        <f t="shared" si="14"/>
        <v>Poor</v>
      </c>
      <c r="P473" s="9" t="str">
        <f t="shared" si="15"/>
        <v>High</v>
      </c>
    </row>
    <row r="474" spans="1:16" x14ac:dyDescent="0.25">
      <c r="A474" s="10" t="s">
        <v>522</v>
      </c>
      <c r="B474" s="11">
        <v>45027</v>
      </c>
      <c r="C474" s="10">
        <v>23</v>
      </c>
      <c r="D474" s="10" t="s">
        <v>17</v>
      </c>
      <c r="E474" s="12">
        <v>1305630</v>
      </c>
      <c r="F474" s="10">
        <v>347</v>
      </c>
      <c r="G474" s="12">
        <v>149403</v>
      </c>
      <c r="H474" s="13">
        <v>16</v>
      </c>
      <c r="I474" s="10">
        <v>36</v>
      </c>
      <c r="J474" s="10" t="s">
        <v>12</v>
      </c>
      <c r="K474" s="14">
        <v>0.19</v>
      </c>
      <c r="L474" s="10" t="s">
        <v>18</v>
      </c>
      <c r="M474" s="10" t="s">
        <v>3</v>
      </c>
      <c r="N474" s="10">
        <v>0</v>
      </c>
      <c r="O474" s="10" t="str">
        <f t="shared" si="14"/>
        <v>Poor</v>
      </c>
      <c r="P474" s="10" t="str">
        <f t="shared" si="15"/>
        <v>Low</v>
      </c>
    </row>
    <row r="475" spans="1:16" x14ac:dyDescent="0.25">
      <c r="A475" s="9" t="s">
        <v>523</v>
      </c>
      <c r="B475" s="15">
        <v>45191</v>
      </c>
      <c r="C475" s="9">
        <v>34</v>
      </c>
      <c r="D475" s="9" t="s">
        <v>17</v>
      </c>
      <c r="E475" s="16">
        <v>2378231</v>
      </c>
      <c r="F475" s="9">
        <v>389</v>
      </c>
      <c r="G475" s="16">
        <v>583370</v>
      </c>
      <c r="H475" s="17">
        <v>7</v>
      </c>
      <c r="I475" s="9">
        <v>24</v>
      </c>
      <c r="J475" s="9" t="s">
        <v>13</v>
      </c>
      <c r="K475" s="18">
        <v>0.3</v>
      </c>
      <c r="L475" s="9" t="s">
        <v>18</v>
      </c>
      <c r="M475" s="9" t="s">
        <v>5</v>
      </c>
      <c r="N475" s="9">
        <v>0</v>
      </c>
      <c r="O475" s="9" t="str">
        <f t="shared" si="14"/>
        <v>Poor</v>
      </c>
      <c r="P475" s="9" t="str">
        <f t="shared" si="15"/>
        <v>Medium</v>
      </c>
    </row>
    <row r="476" spans="1:16" x14ac:dyDescent="0.25">
      <c r="A476" s="10" t="s">
        <v>524</v>
      </c>
      <c r="B476" s="11">
        <v>45730</v>
      </c>
      <c r="C476" s="10">
        <v>23</v>
      </c>
      <c r="D476" s="10" t="s">
        <v>9</v>
      </c>
      <c r="E476" s="12">
        <v>1721751</v>
      </c>
      <c r="F476" s="10">
        <v>746</v>
      </c>
      <c r="G476" s="12">
        <v>941527</v>
      </c>
      <c r="H476" s="13">
        <v>13</v>
      </c>
      <c r="I476" s="10">
        <v>36</v>
      </c>
      <c r="J476" s="10" t="s">
        <v>11</v>
      </c>
      <c r="K476" s="14">
        <v>0.21</v>
      </c>
      <c r="L476" s="10" t="s">
        <v>18</v>
      </c>
      <c r="M476" s="10" t="s">
        <v>3</v>
      </c>
      <c r="N476" s="10">
        <v>0</v>
      </c>
      <c r="O476" s="10" t="str">
        <f t="shared" si="14"/>
        <v>Excellent</v>
      </c>
      <c r="P476" s="10" t="str">
        <f t="shared" si="15"/>
        <v>Medium</v>
      </c>
    </row>
    <row r="477" spans="1:16" x14ac:dyDescent="0.25">
      <c r="A477" s="9" t="s">
        <v>525</v>
      </c>
      <c r="B477" s="15">
        <v>44993</v>
      </c>
      <c r="C477" s="9">
        <v>28</v>
      </c>
      <c r="D477" s="9" t="s">
        <v>16</v>
      </c>
      <c r="E477" s="16">
        <v>1685566</v>
      </c>
      <c r="F477" s="9">
        <v>652</v>
      </c>
      <c r="G477" s="16">
        <v>1331626</v>
      </c>
      <c r="H477" s="17">
        <v>18</v>
      </c>
      <c r="I477" s="9">
        <v>60</v>
      </c>
      <c r="J477" s="9" t="s">
        <v>13</v>
      </c>
      <c r="K477" s="18">
        <v>0.49</v>
      </c>
      <c r="L477" s="9" t="s">
        <v>21</v>
      </c>
      <c r="M477" s="9" t="s">
        <v>2</v>
      </c>
      <c r="N477" s="9">
        <v>0</v>
      </c>
      <c r="O477" s="9" t="str">
        <f t="shared" si="14"/>
        <v>Fair</v>
      </c>
      <c r="P477" s="9" t="str">
        <f t="shared" si="15"/>
        <v>High</v>
      </c>
    </row>
    <row r="478" spans="1:16" x14ac:dyDescent="0.25">
      <c r="A478" s="10" t="s">
        <v>526</v>
      </c>
      <c r="B478" s="11">
        <v>45887</v>
      </c>
      <c r="C478" s="10">
        <v>52</v>
      </c>
      <c r="D478" s="10" t="s">
        <v>16</v>
      </c>
      <c r="E478" s="12">
        <v>432881</v>
      </c>
      <c r="F478" s="10">
        <v>584</v>
      </c>
      <c r="G478" s="12">
        <v>399666</v>
      </c>
      <c r="H478" s="13">
        <v>6</v>
      </c>
      <c r="I478" s="10">
        <v>12</v>
      </c>
      <c r="J478" s="10" t="s">
        <v>14</v>
      </c>
      <c r="K478" s="14">
        <v>0.56000000000000005</v>
      </c>
      <c r="L478" s="10" t="s">
        <v>21</v>
      </c>
      <c r="M478" s="10" t="s">
        <v>3</v>
      </c>
      <c r="N478" s="10">
        <v>1</v>
      </c>
      <c r="O478" s="10" t="str">
        <f t="shared" si="14"/>
        <v>Fair</v>
      </c>
      <c r="P478" s="10" t="str">
        <f t="shared" si="15"/>
        <v>High</v>
      </c>
    </row>
    <row r="479" spans="1:16" x14ac:dyDescent="0.25">
      <c r="A479" s="9" t="s">
        <v>527</v>
      </c>
      <c r="B479" s="15">
        <v>44998</v>
      </c>
      <c r="C479" s="9">
        <v>65</v>
      </c>
      <c r="D479" s="9" t="s">
        <v>9</v>
      </c>
      <c r="E479" s="16">
        <v>821986</v>
      </c>
      <c r="F479" s="9">
        <v>343</v>
      </c>
      <c r="G479" s="16">
        <v>368727</v>
      </c>
      <c r="H479" s="17">
        <v>18</v>
      </c>
      <c r="I479" s="9">
        <v>60</v>
      </c>
      <c r="J479" s="9" t="s">
        <v>9</v>
      </c>
      <c r="K479" s="18">
        <v>0.22</v>
      </c>
      <c r="L479" s="9" t="s">
        <v>19</v>
      </c>
      <c r="M479" s="9" t="s">
        <v>2</v>
      </c>
      <c r="N479" s="9">
        <v>0</v>
      </c>
      <c r="O479" s="9" t="str">
        <f t="shared" si="14"/>
        <v>Poor</v>
      </c>
      <c r="P479" s="9" t="str">
        <f t="shared" si="15"/>
        <v>Medium</v>
      </c>
    </row>
    <row r="480" spans="1:16" x14ac:dyDescent="0.25">
      <c r="A480" s="10" t="s">
        <v>528</v>
      </c>
      <c r="B480" s="11">
        <v>45587</v>
      </c>
      <c r="C480" s="10">
        <v>35</v>
      </c>
      <c r="D480" s="10" t="s">
        <v>9</v>
      </c>
      <c r="E480" s="12">
        <v>1388911</v>
      </c>
      <c r="F480" s="10">
        <v>600</v>
      </c>
      <c r="G480" s="12">
        <v>713483</v>
      </c>
      <c r="H480" s="13">
        <v>18</v>
      </c>
      <c r="I480" s="10">
        <v>60</v>
      </c>
      <c r="J480" s="10" t="s">
        <v>13</v>
      </c>
      <c r="K480" s="14">
        <v>0.38</v>
      </c>
      <c r="L480" s="10" t="s">
        <v>20</v>
      </c>
      <c r="M480" s="10" t="s">
        <v>4</v>
      </c>
      <c r="N480" s="10">
        <v>0</v>
      </c>
      <c r="O480" s="10" t="str">
        <f t="shared" si="14"/>
        <v>Fair</v>
      </c>
      <c r="P480" s="10" t="str">
        <f t="shared" si="15"/>
        <v>Medium</v>
      </c>
    </row>
    <row r="481" spans="1:16" x14ac:dyDescent="0.25">
      <c r="A481" s="9" t="s">
        <v>529</v>
      </c>
      <c r="B481" s="15">
        <v>45798</v>
      </c>
      <c r="C481" s="9">
        <v>28</v>
      </c>
      <c r="D481" s="9" t="s">
        <v>17</v>
      </c>
      <c r="E481" s="16">
        <v>1536879</v>
      </c>
      <c r="F481" s="9">
        <v>575</v>
      </c>
      <c r="G481" s="16">
        <v>1153151</v>
      </c>
      <c r="H481" s="17">
        <v>13</v>
      </c>
      <c r="I481" s="9">
        <v>24</v>
      </c>
      <c r="J481" s="9" t="s">
        <v>10</v>
      </c>
      <c r="K481" s="18">
        <v>0.2</v>
      </c>
      <c r="L481" s="9" t="s">
        <v>20</v>
      </c>
      <c r="M481" s="9" t="s">
        <v>2</v>
      </c>
      <c r="N481" s="9">
        <v>0</v>
      </c>
      <c r="O481" s="9" t="str">
        <f t="shared" si="14"/>
        <v>Poor</v>
      </c>
      <c r="P481" s="9" t="str">
        <f t="shared" si="15"/>
        <v>Medium</v>
      </c>
    </row>
    <row r="482" spans="1:16" x14ac:dyDescent="0.25">
      <c r="A482" s="10" t="s">
        <v>530</v>
      </c>
      <c r="B482" s="11">
        <v>45343</v>
      </c>
      <c r="C482" s="10">
        <v>22</v>
      </c>
      <c r="D482" s="10" t="s">
        <v>16</v>
      </c>
      <c r="E482" s="12">
        <v>922822</v>
      </c>
      <c r="F482" s="10">
        <v>510</v>
      </c>
      <c r="G482" s="12">
        <v>322923</v>
      </c>
      <c r="H482" s="13">
        <v>24</v>
      </c>
      <c r="I482" s="10">
        <v>12</v>
      </c>
      <c r="J482" s="10" t="s">
        <v>14</v>
      </c>
      <c r="K482" s="14">
        <v>0.18</v>
      </c>
      <c r="L482" s="10" t="s">
        <v>21</v>
      </c>
      <c r="M482" s="10" t="s">
        <v>2</v>
      </c>
      <c r="N482" s="10">
        <v>0</v>
      </c>
      <c r="O482" s="10" t="str">
        <f t="shared" si="14"/>
        <v>Poor</v>
      </c>
      <c r="P482" s="10" t="str">
        <f t="shared" si="15"/>
        <v>Low</v>
      </c>
    </row>
    <row r="483" spans="1:16" x14ac:dyDescent="0.25">
      <c r="A483" s="9" t="s">
        <v>531</v>
      </c>
      <c r="B483" s="15">
        <v>46011</v>
      </c>
      <c r="C483" s="9">
        <v>35</v>
      </c>
      <c r="D483" s="9" t="s">
        <v>9</v>
      </c>
      <c r="E483" s="16">
        <v>1390182</v>
      </c>
      <c r="F483" s="9">
        <v>685</v>
      </c>
      <c r="G483" s="16">
        <v>1369782</v>
      </c>
      <c r="H483" s="17">
        <v>12</v>
      </c>
      <c r="I483" s="9">
        <v>12</v>
      </c>
      <c r="J483" s="9" t="s">
        <v>13</v>
      </c>
      <c r="K483" s="18">
        <v>0.24</v>
      </c>
      <c r="L483" s="9" t="s">
        <v>19</v>
      </c>
      <c r="M483" s="9" t="s">
        <v>4</v>
      </c>
      <c r="N483" s="9">
        <v>0</v>
      </c>
      <c r="O483" s="9" t="str">
        <f t="shared" si="14"/>
        <v>Good</v>
      </c>
      <c r="P483" s="9" t="str">
        <f t="shared" si="15"/>
        <v>Medium</v>
      </c>
    </row>
    <row r="484" spans="1:16" x14ac:dyDescent="0.25">
      <c r="A484" s="10" t="s">
        <v>532</v>
      </c>
      <c r="B484" s="11">
        <v>44949</v>
      </c>
      <c r="C484" s="10">
        <v>62</v>
      </c>
      <c r="D484" s="10" t="s">
        <v>16</v>
      </c>
      <c r="E484" s="12">
        <v>1789818</v>
      </c>
      <c r="F484" s="10">
        <v>745</v>
      </c>
      <c r="G484" s="12">
        <v>573189</v>
      </c>
      <c r="H484" s="13">
        <v>13</v>
      </c>
      <c r="I484" s="10">
        <v>24</v>
      </c>
      <c r="J484" s="10" t="s">
        <v>12</v>
      </c>
      <c r="K484" s="14">
        <v>0.27</v>
      </c>
      <c r="L484" s="10" t="s">
        <v>18</v>
      </c>
      <c r="M484" s="10" t="s">
        <v>3</v>
      </c>
      <c r="N484" s="10">
        <v>0</v>
      </c>
      <c r="O484" s="10" t="str">
        <f t="shared" si="14"/>
        <v>Excellent</v>
      </c>
      <c r="P484" s="10" t="str">
        <f t="shared" si="15"/>
        <v>Medium</v>
      </c>
    </row>
    <row r="485" spans="1:16" x14ac:dyDescent="0.25">
      <c r="A485" s="9" t="s">
        <v>533</v>
      </c>
      <c r="B485" s="15">
        <v>45792</v>
      </c>
      <c r="C485" s="9">
        <v>65</v>
      </c>
      <c r="D485" s="9" t="s">
        <v>17</v>
      </c>
      <c r="E485" s="16">
        <v>1378589</v>
      </c>
      <c r="F485" s="9">
        <v>623</v>
      </c>
      <c r="G485" s="16">
        <v>1881809</v>
      </c>
      <c r="H485" s="17">
        <v>23</v>
      </c>
      <c r="I485" s="9">
        <v>24</v>
      </c>
      <c r="J485" s="9" t="s">
        <v>9</v>
      </c>
      <c r="K485" s="18">
        <v>0.56000000000000005</v>
      </c>
      <c r="L485" s="9" t="s">
        <v>22</v>
      </c>
      <c r="M485" s="9" t="s">
        <v>3</v>
      </c>
      <c r="N485" s="9">
        <v>1</v>
      </c>
      <c r="O485" s="9" t="str">
        <f t="shared" si="14"/>
        <v>Fair</v>
      </c>
      <c r="P485" s="9" t="str">
        <f t="shared" si="15"/>
        <v>High</v>
      </c>
    </row>
    <row r="486" spans="1:16" x14ac:dyDescent="0.25">
      <c r="A486" s="10" t="s">
        <v>534</v>
      </c>
      <c r="B486" s="11">
        <v>45232</v>
      </c>
      <c r="C486" s="10">
        <v>49</v>
      </c>
      <c r="D486" s="10" t="s">
        <v>16</v>
      </c>
      <c r="E486" s="12">
        <v>1966083</v>
      </c>
      <c r="F486" s="10">
        <v>595</v>
      </c>
      <c r="G486" s="12">
        <v>673505</v>
      </c>
      <c r="H486" s="13">
        <v>13</v>
      </c>
      <c r="I486" s="10">
        <v>12</v>
      </c>
      <c r="J486" s="10" t="s">
        <v>12</v>
      </c>
      <c r="K486" s="14">
        <v>0.11</v>
      </c>
      <c r="L486" s="10" t="s">
        <v>22</v>
      </c>
      <c r="M486" s="10" t="s">
        <v>2</v>
      </c>
      <c r="N486" s="10">
        <v>0</v>
      </c>
      <c r="O486" s="10" t="str">
        <f t="shared" si="14"/>
        <v>Fair</v>
      </c>
      <c r="P486" s="10" t="str">
        <f t="shared" si="15"/>
        <v>Low</v>
      </c>
    </row>
    <row r="487" spans="1:16" x14ac:dyDescent="0.25">
      <c r="A487" s="9" t="s">
        <v>535</v>
      </c>
      <c r="B487" s="15">
        <v>45696</v>
      </c>
      <c r="C487" s="9">
        <v>52</v>
      </c>
      <c r="D487" s="9" t="s">
        <v>9</v>
      </c>
      <c r="E487" s="16">
        <v>2076487</v>
      </c>
      <c r="F487" s="9">
        <v>776</v>
      </c>
      <c r="G487" s="16">
        <v>1043915</v>
      </c>
      <c r="H487" s="17">
        <v>6</v>
      </c>
      <c r="I487" s="9">
        <v>24</v>
      </c>
      <c r="J487" s="9" t="s">
        <v>11</v>
      </c>
      <c r="K487" s="18">
        <v>0.45</v>
      </c>
      <c r="L487" s="9" t="s">
        <v>18</v>
      </c>
      <c r="M487" s="9" t="s">
        <v>2</v>
      </c>
      <c r="N487" s="9">
        <v>0</v>
      </c>
      <c r="O487" s="9" t="str">
        <f t="shared" si="14"/>
        <v>Excellent</v>
      </c>
      <c r="P487" s="9" t="str">
        <f t="shared" si="15"/>
        <v>High</v>
      </c>
    </row>
    <row r="488" spans="1:16" x14ac:dyDescent="0.25">
      <c r="A488" s="10" t="s">
        <v>536</v>
      </c>
      <c r="B488" s="11">
        <v>45676</v>
      </c>
      <c r="C488" s="10">
        <v>51</v>
      </c>
      <c r="D488" s="10" t="s">
        <v>17</v>
      </c>
      <c r="E488" s="12">
        <v>1509214</v>
      </c>
      <c r="F488" s="10">
        <v>842</v>
      </c>
      <c r="G488" s="12">
        <v>519780</v>
      </c>
      <c r="H488" s="13">
        <v>16</v>
      </c>
      <c r="I488" s="10">
        <v>60</v>
      </c>
      <c r="J488" s="10" t="s">
        <v>10</v>
      </c>
      <c r="K488" s="14">
        <v>0.15</v>
      </c>
      <c r="L488" s="10" t="s">
        <v>20</v>
      </c>
      <c r="M488" s="10" t="s">
        <v>4</v>
      </c>
      <c r="N488" s="10">
        <v>1</v>
      </c>
      <c r="O488" s="10" t="str">
        <f t="shared" si="14"/>
        <v>Excellent</v>
      </c>
      <c r="P488" s="10" t="str">
        <f t="shared" si="15"/>
        <v>Low</v>
      </c>
    </row>
    <row r="489" spans="1:16" x14ac:dyDescent="0.25">
      <c r="A489" s="9" t="s">
        <v>537</v>
      </c>
      <c r="B489" s="15">
        <v>45111</v>
      </c>
      <c r="C489" s="9">
        <v>49</v>
      </c>
      <c r="D489" s="9" t="s">
        <v>9</v>
      </c>
      <c r="E489" s="16">
        <v>2249372</v>
      </c>
      <c r="F489" s="9">
        <v>725</v>
      </c>
      <c r="G489" s="16">
        <v>1575098</v>
      </c>
      <c r="H489" s="17">
        <v>15</v>
      </c>
      <c r="I489" s="9">
        <v>36</v>
      </c>
      <c r="J489" s="9" t="s">
        <v>9</v>
      </c>
      <c r="K489" s="18">
        <v>0.35</v>
      </c>
      <c r="L489" s="9" t="s">
        <v>21</v>
      </c>
      <c r="M489" s="9" t="s">
        <v>2</v>
      </c>
      <c r="N489" s="9">
        <v>0</v>
      </c>
      <c r="O489" s="9" t="str">
        <f t="shared" si="14"/>
        <v>Good</v>
      </c>
      <c r="P489" s="9" t="str">
        <f t="shared" si="15"/>
        <v>Medium</v>
      </c>
    </row>
    <row r="490" spans="1:16" x14ac:dyDescent="0.25">
      <c r="A490" s="10" t="s">
        <v>538</v>
      </c>
      <c r="B490" s="11">
        <v>45519</v>
      </c>
      <c r="C490" s="10">
        <v>31</v>
      </c>
      <c r="D490" s="10" t="s">
        <v>16</v>
      </c>
      <c r="E490" s="12">
        <v>2014954</v>
      </c>
      <c r="F490" s="10">
        <v>448</v>
      </c>
      <c r="G490" s="12">
        <v>1441769</v>
      </c>
      <c r="H490" s="13">
        <v>12</v>
      </c>
      <c r="I490" s="10">
        <v>60</v>
      </c>
      <c r="J490" s="10" t="s">
        <v>14</v>
      </c>
      <c r="K490" s="14">
        <v>0.45</v>
      </c>
      <c r="L490" s="10" t="s">
        <v>18</v>
      </c>
      <c r="M490" s="10" t="s">
        <v>5</v>
      </c>
      <c r="N490" s="10">
        <v>0</v>
      </c>
      <c r="O490" s="10" t="str">
        <f t="shared" si="14"/>
        <v>Poor</v>
      </c>
      <c r="P490" s="10" t="str">
        <f t="shared" si="15"/>
        <v>High</v>
      </c>
    </row>
    <row r="491" spans="1:16" x14ac:dyDescent="0.25">
      <c r="A491" s="9" t="s">
        <v>539</v>
      </c>
      <c r="B491" s="15">
        <v>45320</v>
      </c>
      <c r="C491" s="9">
        <v>35</v>
      </c>
      <c r="D491" s="9" t="s">
        <v>16</v>
      </c>
      <c r="E491" s="16">
        <v>1774730</v>
      </c>
      <c r="F491" s="9">
        <v>313</v>
      </c>
      <c r="G491" s="16">
        <v>888101</v>
      </c>
      <c r="H491" s="17">
        <v>9</v>
      </c>
      <c r="I491" s="9">
        <v>36</v>
      </c>
      <c r="J491" s="9" t="s">
        <v>9</v>
      </c>
      <c r="K491" s="18">
        <v>0.33</v>
      </c>
      <c r="L491" s="9" t="s">
        <v>18</v>
      </c>
      <c r="M491" s="9" t="s">
        <v>2</v>
      </c>
      <c r="N491" s="9">
        <v>0</v>
      </c>
      <c r="O491" s="9" t="str">
        <f t="shared" si="14"/>
        <v>Poor</v>
      </c>
      <c r="P491" s="9" t="str">
        <f t="shared" si="15"/>
        <v>Medium</v>
      </c>
    </row>
    <row r="492" spans="1:16" x14ac:dyDescent="0.25">
      <c r="A492" s="10" t="s">
        <v>540</v>
      </c>
      <c r="B492" s="11">
        <v>45869</v>
      </c>
      <c r="C492" s="10">
        <v>24</v>
      </c>
      <c r="D492" s="10" t="s">
        <v>17</v>
      </c>
      <c r="E492" s="12">
        <v>2207982</v>
      </c>
      <c r="F492" s="10">
        <v>781</v>
      </c>
      <c r="G492" s="12">
        <v>776969</v>
      </c>
      <c r="H492" s="13">
        <v>17</v>
      </c>
      <c r="I492" s="10">
        <v>24</v>
      </c>
      <c r="J492" s="10" t="s">
        <v>14</v>
      </c>
      <c r="K492" s="14">
        <v>0.5</v>
      </c>
      <c r="L492" s="10" t="s">
        <v>22</v>
      </c>
      <c r="M492" s="10" t="s">
        <v>5</v>
      </c>
      <c r="N492" s="10">
        <v>0</v>
      </c>
      <c r="O492" s="10" t="str">
        <f t="shared" si="14"/>
        <v>Excellent</v>
      </c>
      <c r="P492" s="10" t="str">
        <f t="shared" si="15"/>
        <v>High</v>
      </c>
    </row>
    <row r="493" spans="1:16" x14ac:dyDescent="0.25">
      <c r="A493" s="9" t="s">
        <v>541</v>
      </c>
      <c r="B493" s="15">
        <v>45985</v>
      </c>
      <c r="C493" s="9">
        <v>45</v>
      </c>
      <c r="D493" s="9" t="s">
        <v>17</v>
      </c>
      <c r="E493" s="16">
        <v>459148</v>
      </c>
      <c r="F493" s="9">
        <v>402</v>
      </c>
      <c r="G493" s="16">
        <v>314264</v>
      </c>
      <c r="H493" s="17">
        <v>9</v>
      </c>
      <c r="I493" s="9">
        <v>24</v>
      </c>
      <c r="J493" s="9" t="s">
        <v>12</v>
      </c>
      <c r="K493" s="18">
        <v>0.59</v>
      </c>
      <c r="L493" s="9" t="s">
        <v>19</v>
      </c>
      <c r="M493" s="9" t="s">
        <v>5</v>
      </c>
      <c r="N493" s="9">
        <v>1</v>
      </c>
      <c r="O493" s="9" t="str">
        <f t="shared" si="14"/>
        <v>Poor</v>
      </c>
      <c r="P493" s="9" t="str">
        <f t="shared" si="15"/>
        <v>High</v>
      </c>
    </row>
    <row r="494" spans="1:16" x14ac:dyDescent="0.25">
      <c r="A494" s="10" t="s">
        <v>542</v>
      </c>
      <c r="B494" s="11">
        <v>45493</v>
      </c>
      <c r="C494" s="10">
        <v>28</v>
      </c>
      <c r="D494" s="10" t="s">
        <v>16</v>
      </c>
      <c r="E494" s="12">
        <v>1028510</v>
      </c>
      <c r="F494" s="10">
        <v>818</v>
      </c>
      <c r="G494" s="12">
        <v>1413558</v>
      </c>
      <c r="H494" s="13">
        <v>18</v>
      </c>
      <c r="I494" s="10">
        <v>12</v>
      </c>
      <c r="J494" s="10" t="s">
        <v>12</v>
      </c>
      <c r="K494" s="14">
        <v>0.24</v>
      </c>
      <c r="L494" s="10" t="s">
        <v>18</v>
      </c>
      <c r="M494" s="10" t="s">
        <v>4</v>
      </c>
      <c r="N494" s="10">
        <v>0</v>
      </c>
      <c r="O494" s="10" t="str">
        <f t="shared" si="14"/>
        <v>Excellent</v>
      </c>
      <c r="P494" s="10" t="str">
        <f t="shared" si="15"/>
        <v>Medium</v>
      </c>
    </row>
    <row r="495" spans="1:16" x14ac:dyDescent="0.25">
      <c r="A495" s="9" t="s">
        <v>543</v>
      </c>
      <c r="B495" s="15">
        <v>45787</v>
      </c>
      <c r="C495" s="9">
        <v>28</v>
      </c>
      <c r="D495" s="9" t="s">
        <v>17</v>
      </c>
      <c r="E495" s="16">
        <v>2050965</v>
      </c>
      <c r="F495" s="9">
        <v>689</v>
      </c>
      <c r="G495" s="16">
        <v>125794</v>
      </c>
      <c r="H495" s="17">
        <v>9</v>
      </c>
      <c r="I495" s="9">
        <v>12</v>
      </c>
      <c r="J495" s="9" t="s">
        <v>14</v>
      </c>
      <c r="K495" s="18">
        <v>0.55000000000000004</v>
      </c>
      <c r="L495" s="9" t="s">
        <v>22</v>
      </c>
      <c r="M495" s="9" t="s">
        <v>3</v>
      </c>
      <c r="N495" s="9">
        <v>0</v>
      </c>
      <c r="O495" s="9" t="str">
        <f t="shared" si="14"/>
        <v>Good</v>
      </c>
      <c r="P495" s="9" t="str">
        <f t="shared" si="15"/>
        <v>High</v>
      </c>
    </row>
    <row r="496" spans="1:16" x14ac:dyDescent="0.25">
      <c r="A496" s="10" t="s">
        <v>544</v>
      </c>
      <c r="B496" s="11">
        <v>45811</v>
      </c>
      <c r="C496" s="10">
        <v>38</v>
      </c>
      <c r="D496" s="10" t="s">
        <v>9</v>
      </c>
      <c r="E496" s="12">
        <v>526907</v>
      </c>
      <c r="F496" s="10">
        <v>386</v>
      </c>
      <c r="G496" s="12">
        <v>1835380</v>
      </c>
      <c r="H496" s="13">
        <v>14</v>
      </c>
      <c r="I496" s="10">
        <v>36</v>
      </c>
      <c r="J496" s="10" t="s">
        <v>9</v>
      </c>
      <c r="K496" s="14">
        <v>0.24</v>
      </c>
      <c r="L496" s="10" t="s">
        <v>20</v>
      </c>
      <c r="M496" s="10" t="s">
        <v>3</v>
      </c>
      <c r="N496" s="10">
        <v>1</v>
      </c>
      <c r="O496" s="10" t="str">
        <f t="shared" si="14"/>
        <v>Poor</v>
      </c>
      <c r="P496" s="10" t="str">
        <f t="shared" si="15"/>
        <v>Medium</v>
      </c>
    </row>
    <row r="497" spans="1:16" x14ac:dyDescent="0.25">
      <c r="A497" s="9" t="s">
        <v>545</v>
      </c>
      <c r="B497" s="15">
        <v>45270</v>
      </c>
      <c r="C497" s="9">
        <v>42</v>
      </c>
      <c r="D497" s="9" t="s">
        <v>16</v>
      </c>
      <c r="E497" s="16">
        <v>1174410</v>
      </c>
      <c r="F497" s="9">
        <v>611</v>
      </c>
      <c r="G497" s="16">
        <v>1643070</v>
      </c>
      <c r="H497" s="17">
        <v>14</v>
      </c>
      <c r="I497" s="9">
        <v>36</v>
      </c>
      <c r="J497" s="9" t="s">
        <v>14</v>
      </c>
      <c r="K497" s="18">
        <v>0.31</v>
      </c>
      <c r="L497" s="9" t="s">
        <v>18</v>
      </c>
      <c r="M497" s="9" t="s">
        <v>2</v>
      </c>
      <c r="N497" s="9">
        <v>0</v>
      </c>
      <c r="O497" s="9" t="str">
        <f t="shared" si="14"/>
        <v>Fair</v>
      </c>
      <c r="P497" s="9" t="str">
        <f t="shared" si="15"/>
        <v>Medium</v>
      </c>
    </row>
    <row r="498" spans="1:16" x14ac:dyDescent="0.25">
      <c r="A498" s="10" t="s">
        <v>546</v>
      </c>
      <c r="B498" s="11">
        <v>44981</v>
      </c>
      <c r="C498" s="10">
        <v>21</v>
      </c>
      <c r="D498" s="10" t="s">
        <v>16</v>
      </c>
      <c r="E498" s="12">
        <v>640803</v>
      </c>
      <c r="F498" s="10">
        <v>596</v>
      </c>
      <c r="G498" s="12">
        <v>151485</v>
      </c>
      <c r="H498" s="13">
        <v>9</v>
      </c>
      <c r="I498" s="10">
        <v>24</v>
      </c>
      <c r="J498" s="10" t="s">
        <v>11</v>
      </c>
      <c r="K498" s="14">
        <v>0.48</v>
      </c>
      <c r="L498" s="10" t="s">
        <v>21</v>
      </c>
      <c r="M498" s="10" t="s">
        <v>2</v>
      </c>
      <c r="N498" s="10">
        <v>0</v>
      </c>
      <c r="O498" s="10" t="str">
        <f t="shared" si="14"/>
        <v>Fair</v>
      </c>
      <c r="P498" s="10" t="str">
        <f t="shared" si="15"/>
        <v>High</v>
      </c>
    </row>
    <row r="499" spans="1:16" x14ac:dyDescent="0.25">
      <c r="A499" s="9" t="s">
        <v>547</v>
      </c>
      <c r="B499" s="15">
        <v>45260</v>
      </c>
      <c r="C499" s="9">
        <v>61</v>
      </c>
      <c r="D499" s="9" t="s">
        <v>17</v>
      </c>
      <c r="E499" s="16">
        <v>1752328</v>
      </c>
      <c r="F499" s="9">
        <v>717</v>
      </c>
      <c r="G499" s="16">
        <v>1603292</v>
      </c>
      <c r="H499" s="17">
        <v>14</v>
      </c>
      <c r="I499" s="9">
        <v>24</v>
      </c>
      <c r="J499" s="9" t="s">
        <v>9</v>
      </c>
      <c r="K499" s="18">
        <v>0.34</v>
      </c>
      <c r="L499" s="9" t="s">
        <v>19</v>
      </c>
      <c r="M499" s="9" t="s">
        <v>3</v>
      </c>
      <c r="N499" s="9">
        <v>0</v>
      </c>
      <c r="O499" s="9" t="str">
        <f t="shared" si="14"/>
        <v>Good</v>
      </c>
      <c r="P499" s="9" t="str">
        <f t="shared" si="15"/>
        <v>Medium</v>
      </c>
    </row>
    <row r="500" spans="1:16" x14ac:dyDescent="0.25">
      <c r="A500" s="10" t="s">
        <v>548</v>
      </c>
      <c r="B500" s="11">
        <v>45992</v>
      </c>
      <c r="C500" s="10">
        <v>33</v>
      </c>
      <c r="D500" s="10" t="s">
        <v>9</v>
      </c>
      <c r="E500" s="12">
        <v>687250</v>
      </c>
      <c r="F500" s="10">
        <v>495</v>
      </c>
      <c r="G500" s="12">
        <v>594985</v>
      </c>
      <c r="H500" s="13">
        <v>17</v>
      </c>
      <c r="I500" s="10">
        <v>36</v>
      </c>
      <c r="J500" s="10" t="s">
        <v>10</v>
      </c>
      <c r="K500" s="14">
        <v>0.36</v>
      </c>
      <c r="L500" s="10" t="s">
        <v>22</v>
      </c>
      <c r="M500" s="10" t="s">
        <v>4</v>
      </c>
      <c r="N500" s="10">
        <v>0</v>
      </c>
      <c r="O500" s="10" t="str">
        <f t="shared" si="14"/>
        <v>Poor</v>
      </c>
      <c r="P500" s="10" t="str">
        <f t="shared" si="15"/>
        <v>Medium</v>
      </c>
    </row>
    <row r="501" spans="1:16" x14ac:dyDescent="0.25">
      <c r="A501" s="9" t="s">
        <v>549</v>
      </c>
      <c r="B501" s="15">
        <v>45781</v>
      </c>
      <c r="C501" s="9">
        <v>54</v>
      </c>
      <c r="D501" s="9" t="s">
        <v>17</v>
      </c>
      <c r="E501" s="16">
        <v>1260831</v>
      </c>
      <c r="F501" s="9">
        <v>447</v>
      </c>
      <c r="G501" s="16">
        <v>351589</v>
      </c>
      <c r="H501" s="17">
        <v>7</v>
      </c>
      <c r="I501" s="9">
        <v>12</v>
      </c>
      <c r="J501" s="9" t="s">
        <v>14</v>
      </c>
      <c r="K501" s="18">
        <v>0.31</v>
      </c>
      <c r="L501" s="9" t="s">
        <v>20</v>
      </c>
      <c r="M501" s="9" t="s">
        <v>2</v>
      </c>
      <c r="N501" s="9">
        <v>1</v>
      </c>
      <c r="O501" s="9" t="str">
        <f t="shared" si="14"/>
        <v>Poor</v>
      </c>
      <c r="P501" s="9" t="str">
        <f t="shared" si="15"/>
        <v>Medium</v>
      </c>
    </row>
  </sheetData>
  <autoFilter ref="A1:P501" xr:uid="{00000000-0009-0000-0000-000009000000}"/>
  <conditionalFormatting sqref="A2:A501">
    <cfRule type="duplicateValues" dxfId="0" priority="1"/>
  </conditionalFormatting>
  <pageMargins left="0.3" right="0.3" top="0.5" bottom="0.5" header="0.3" footer="0.3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75B5"/>
    <pageSetUpPr fitToPage="1"/>
  </sheetPr>
  <dimension ref="A1:I103"/>
  <sheetViews>
    <sheetView showGridLines="0" topLeftCell="A66" zoomScale="90" workbookViewId="0">
      <pane ySplit="2" topLeftCell="A3" activePane="bottomLeft" state="frozen"/>
      <selection pane="bottomLeft"/>
    </sheetView>
  </sheetViews>
  <sheetFormatPr defaultRowHeight="15" x14ac:dyDescent="0.25"/>
  <cols>
    <col min="1" max="1" width="28" style="2" bestFit="1" customWidth="1"/>
    <col min="2" max="2" width="16" style="2" bestFit="1" customWidth="1"/>
    <col min="3" max="3" width="3" style="2" customWidth="1"/>
    <col min="4" max="4" width="35" style="2" bestFit="1" customWidth="1"/>
    <col min="5" max="5" width="16" style="2" bestFit="1" customWidth="1"/>
    <col min="6" max="6" width="18" style="2" bestFit="1" customWidth="1"/>
    <col min="7" max="7" width="16" style="2" bestFit="1" customWidth="1"/>
    <col min="8" max="8" width="14" style="2" bestFit="1" customWidth="1"/>
    <col min="9" max="9" width="20" style="2" bestFit="1" customWidth="1"/>
  </cols>
  <sheetData>
    <row r="1" spans="1:9" ht="24" customHeight="1" x14ac:dyDescent="0.25">
      <c r="A1" s="19" t="s">
        <v>550</v>
      </c>
      <c r="D1" s="19" t="s">
        <v>551</v>
      </c>
    </row>
    <row r="3" spans="1:9" ht="15.75" customHeight="1" x14ac:dyDescent="0.25">
      <c r="A3" s="20" t="s">
        <v>552</v>
      </c>
      <c r="B3" s="21">
        <f>SUM('Working Data'!G2:G501)</f>
        <v>509868608</v>
      </c>
      <c r="D3" s="22" t="s">
        <v>553</v>
      </c>
      <c r="E3" s="23">
        <f>B11</f>
        <v>148</v>
      </c>
    </row>
    <row r="4" spans="1:9" x14ac:dyDescent="0.25">
      <c r="A4" s="20" t="s">
        <v>554</v>
      </c>
      <c r="B4" s="24">
        <f>COUNTA('Working Data'!A2:A501)</f>
        <v>500</v>
      </c>
      <c r="D4" s="22" t="s">
        <v>555</v>
      </c>
      <c r="E4" s="25">
        <f>B10</f>
        <v>0.29599999999999999</v>
      </c>
    </row>
    <row r="5" spans="1:9" x14ac:dyDescent="0.25">
      <c r="A5" s="20" t="s">
        <v>556</v>
      </c>
      <c r="B5" s="21">
        <f>AVERAGE('Working Data'!G2:G501)</f>
        <v>1019737.216</v>
      </c>
      <c r="D5" s="22" t="s">
        <v>557</v>
      </c>
      <c r="E5" s="23">
        <f>B14</f>
        <v>110</v>
      </c>
    </row>
    <row r="6" spans="1:9" x14ac:dyDescent="0.25">
      <c r="A6" s="20" t="s">
        <v>558</v>
      </c>
      <c r="B6" s="26">
        <f>AVERAGE('Working Data'!H2:H501)</f>
        <v>15.044</v>
      </c>
      <c r="D6" s="22" t="s">
        <v>559</v>
      </c>
      <c r="E6" s="25">
        <f>B18</f>
        <v>0.22</v>
      </c>
    </row>
    <row r="7" spans="1:9" x14ac:dyDescent="0.25">
      <c r="A7" s="20" t="s">
        <v>560</v>
      </c>
      <c r="B7" s="24">
        <f>AVERAGE('Working Data'!F2:F501)</f>
        <v>571.33399999999995</v>
      </c>
    </row>
    <row r="8" spans="1:9" ht="24" customHeight="1" x14ac:dyDescent="0.25">
      <c r="A8" s="20" t="s">
        <v>561</v>
      </c>
      <c r="B8" s="21">
        <f>AVERAGE('Working Data'!E2:E501)</f>
        <v>1301532.0060000001</v>
      </c>
    </row>
    <row r="9" spans="1:9" x14ac:dyDescent="0.25">
      <c r="A9" s="20" t="s">
        <v>562</v>
      </c>
      <c r="B9" s="26">
        <f>AVERAGE('Working Data'!K2:K501)</f>
        <v>0.35318000000000005</v>
      </c>
    </row>
    <row r="10" spans="1:9" ht="30" customHeight="1" x14ac:dyDescent="0.25">
      <c r="A10" s="20" t="s">
        <v>555</v>
      </c>
      <c r="B10" s="27">
        <f>AVERAGE('Working Data'!N2:N501)</f>
        <v>0.29599999999999999</v>
      </c>
      <c r="D10" s="28" t="s">
        <v>563</v>
      </c>
      <c r="E10" s="28" t="s">
        <v>564</v>
      </c>
      <c r="F10" s="28" t="s">
        <v>552</v>
      </c>
      <c r="G10" s="28" t="s">
        <v>553</v>
      </c>
      <c r="H10" s="28" t="s">
        <v>555</v>
      </c>
      <c r="I10" s="28" t="s">
        <v>556</v>
      </c>
    </row>
    <row r="11" spans="1:9" x14ac:dyDescent="0.25">
      <c r="A11" s="20" t="s">
        <v>553</v>
      </c>
      <c r="B11" s="24">
        <f>COUNTIF('Working Data'!N2:N501,1)</f>
        <v>148</v>
      </c>
      <c r="D11" s="29" t="s">
        <v>11</v>
      </c>
      <c r="E11" s="29">
        <f>COUNTIF('Working Data'!J:J,D11)</f>
        <v>83</v>
      </c>
      <c r="F11" s="30">
        <f>SUMIF('Working Data'!J:J,D11,'Working Data'!G:G)</f>
        <v>81494659</v>
      </c>
      <c r="G11" s="29">
        <f>SUMIF('Working Data'!J:J,D11,'Working Data'!N:N)</f>
        <v>26</v>
      </c>
      <c r="H11" s="31">
        <f t="shared" ref="H11:H16" si="0">G11/E11</f>
        <v>0.31325301204819278</v>
      </c>
      <c r="I11" s="30">
        <f t="shared" ref="I11:I16" si="1">F11/E11</f>
        <v>981863.36144578317</v>
      </c>
    </row>
    <row r="12" spans="1:9" x14ac:dyDescent="0.25">
      <c r="A12" s="20" t="s">
        <v>565</v>
      </c>
      <c r="B12" s="24">
        <f>COUNTIF('Working Data'!M2:M501,"Closed")</f>
        <v>142</v>
      </c>
      <c r="D12" s="10" t="s">
        <v>10</v>
      </c>
      <c r="E12" s="10">
        <f>COUNTIF('Working Data'!J:J,D12)</f>
        <v>80</v>
      </c>
      <c r="F12" s="12">
        <f>SUMIF('Working Data'!J:J,D12,'Working Data'!G:G)</f>
        <v>74740654</v>
      </c>
      <c r="G12" s="10">
        <f>SUMIF('Working Data'!J:J,D12,'Working Data'!N:N)</f>
        <v>21</v>
      </c>
      <c r="H12" s="14">
        <f t="shared" si="0"/>
        <v>0.26250000000000001</v>
      </c>
      <c r="I12" s="12">
        <f t="shared" si="1"/>
        <v>934258.17500000005</v>
      </c>
    </row>
    <row r="13" spans="1:9" x14ac:dyDescent="0.25">
      <c r="A13" s="20" t="s">
        <v>566</v>
      </c>
      <c r="B13" s="24">
        <f>COUNTIF('Working Data'!M2:M501,"Active")</f>
        <v>128</v>
      </c>
      <c r="D13" s="29" t="s">
        <v>12</v>
      </c>
      <c r="E13" s="29">
        <f>COUNTIF('Working Data'!J:J,D13)</f>
        <v>88</v>
      </c>
      <c r="F13" s="30">
        <f>SUMIF('Working Data'!J:J,D13,'Working Data'!G:G)</f>
        <v>89416780</v>
      </c>
      <c r="G13" s="29">
        <f>SUMIF('Working Data'!J:J,D13,'Working Data'!N:N)</f>
        <v>33</v>
      </c>
      <c r="H13" s="31">
        <f t="shared" si="0"/>
        <v>0.375</v>
      </c>
      <c r="I13" s="30">
        <f t="shared" si="1"/>
        <v>1016099.7727272727</v>
      </c>
    </row>
    <row r="14" spans="1:9" x14ac:dyDescent="0.25">
      <c r="A14" s="20" t="s">
        <v>557</v>
      </c>
      <c r="B14" s="24">
        <f>COUNTIF('Working Data'!M2:M501,"Overdue")</f>
        <v>110</v>
      </c>
      <c r="D14" s="10" t="s">
        <v>9</v>
      </c>
      <c r="E14" s="10">
        <f>COUNTIF('Working Data'!J:J,D14)</f>
        <v>86</v>
      </c>
      <c r="F14" s="12">
        <f>SUMIF('Working Data'!J:J,D14,'Working Data'!G:G)</f>
        <v>98161861</v>
      </c>
      <c r="G14" s="10">
        <f>SUMIF('Working Data'!J:J,D14,'Working Data'!N:N)</f>
        <v>26</v>
      </c>
      <c r="H14" s="14">
        <f t="shared" si="0"/>
        <v>0.30232558139534882</v>
      </c>
      <c r="I14" s="12">
        <f t="shared" si="1"/>
        <v>1141416.9883720931</v>
      </c>
    </row>
    <row r="15" spans="1:9" x14ac:dyDescent="0.25">
      <c r="A15" s="20" t="s">
        <v>567</v>
      </c>
      <c r="B15" s="24">
        <f>COUNTIF('Working Data'!M2:M501,"Active")+COUNTIF('Working Data'!M2:M501,"Closed")+COUNTIF('Working Data'!M2:M501,"Overdue")+COUNTIF('Working Data'!M2:M501,"Defaulted")</f>
        <v>500</v>
      </c>
      <c r="D15" s="29" t="s">
        <v>14</v>
      </c>
      <c r="E15" s="29">
        <f>COUNTIF('Working Data'!J:J,D15)</f>
        <v>91</v>
      </c>
      <c r="F15" s="30">
        <f>SUMIF('Working Data'!J:J,D15,'Working Data'!G:G)</f>
        <v>89467004</v>
      </c>
      <c r="G15" s="29">
        <f>SUMIF('Working Data'!J:J,D15,'Working Data'!N:N)</f>
        <v>29</v>
      </c>
      <c r="H15" s="31">
        <f t="shared" si="0"/>
        <v>0.31868131868131866</v>
      </c>
      <c r="I15" s="30">
        <f t="shared" si="1"/>
        <v>983153.89010989014</v>
      </c>
    </row>
    <row r="16" spans="1:9" x14ac:dyDescent="0.25">
      <c r="A16" s="20" t="s">
        <v>568</v>
      </c>
      <c r="B16" s="27">
        <f>B12/$B$15</f>
        <v>0.28399999999999997</v>
      </c>
      <c r="D16" s="10" t="s">
        <v>13</v>
      </c>
      <c r="E16" s="10">
        <f>COUNTIF('Working Data'!J:J,D16)</f>
        <v>72</v>
      </c>
      <c r="F16" s="12">
        <f>SUMIF('Working Data'!J:J,D16,'Working Data'!G:G)</f>
        <v>76587650</v>
      </c>
      <c r="G16" s="10">
        <f>SUMIF('Working Data'!J:J,D16,'Working Data'!N:N)</f>
        <v>13</v>
      </c>
      <c r="H16" s="14">
        <f t="shared" si="0"/>
        <v>0.18055555555555555</v>
      </c>
      <c r="I16" s="12">
        <f t="shared" si="1"/>
        <v>1063717.361111111</v>
      </c>
    </row>
    <row r="17" spans="1:8" x14ac:dyDescent="0.25">
      <c r="A17" s="20" t="s">
        <v>569</v>
      </c>
      <c r="B17" s="27">
        <f>B13/$B$15</f>
        <v>0.25600000000000001</v>
      </c>
    </row>
    <row r="18" spans="1:8" x14ac:dyDescent="0.25">
      <c r="A18" s="20" t="s">
        <v>559</v>
      </c>
      <c r="B18" s="27">
        <f>B14/$B$15</f>
        <v>0.22</v>
      </c>
      <c r="D18" t="s">
        <v>570</v>
      </c>
      <c r="E18" s="1">
        <f>MAX(H11:H16)</f>
        <v>0.375</v>
      </c>
    </row>
    <row r="19" spans="1:8" x14ac:dyDescent="0.25">
      <c r="A19" s="20" t="s">
        <v>571</v>
      </c>
      <c r="B19" s="27">
        <f>B11/$B$15</f>
        <v>0.29599999999999999</v>
      </c>
      <c r="D19" t="s">
        <v>572</v>
      </c>
      <c r="E19" t="str">
        <f>INDEX(D11:D16,MATCH(E18,H11:H16,0))</f>
        <v>Medical</v>
      </c>
    </row>
    <row r="21" spans="1:8" ht="24" customHeight="1" x14ac:dyDescent="0.25">
      <c r="D21" s="19" t="s">
        <v>573</v>
      </c>
      <c r="E21" s="19" t="s">
        <v>564</v>
      </c>
      <c r="F21" s="19" t="s">
        <v>553</v>
      </c>
      <c r="G21" s="19" t="s">
        <v>555</v>
      </c>
    </row>
    <row r="23" spans="1:8" ht="30" customHeight="1" x14ac:dyDescent="0.25">
      <c r="D23" s="28" t="s">
        <v>574</v>
      </c>
    </row>
    <row r="24" spans="1:8" ht="15.75" customHeight="1" x14ac:dyDescent="0.25">
      <c r="D24" s="10" t="s">
        <v>16</v>
      </c>
      <c r="E24" s="10">
        <f>COUNTIF('Working Data'!D:D,D24)</f>
        <v>173</v>
      </c>
      <c r="F24" s="10">
        <f>SUMIF('Working Data'!D:D,D24,'Working Data'!N:N)</f>
        <v>42</v>
      </c>
      <c r="G24" s="14">
        <f>F24/E24</f>
        <v>0.24277456647398843</v>
      </c>
    </row>
    <row r="25" spans="1:8" x14ac:dyDescent="0.25">
      <c r="D25" s="29" t="s">
        <v>17</v>
      </c>
      <c r="E25" s="29">
        <f>COUNTIF('Working Data'!D:D,D25)</f>
        <v>169</v>
      </c>
      <c r="F25" s="29">
        <f>SUMIF('Working Data'!D:D,D25,'Working Data'!N:N)</f>
        <v>53</v>
      </c>
      <c r="G25" s="31">
        <f>F25/E25</f>
        <v>0.31360946745562129</v>
      </c>
    </row>
    <row r="26" spans="1:8" x14ac:dyDescent="0.25">
      <c r="D26" s="10" t="s">
        <v>9</v>
      </c>
      <c r="E26" s="10">
        <f>COUNTIF('Working Data'!D:D,D26)</f>
        <v>158</v>
      </c>
      <c r="F26" s="10">
        <f>SUMIF('Working Data'!D:D,D26,'Working Data'!N:N)</f>
        <v>53</v>
      </c>
      <c r="G26" s="14">
        <f>F26/E26</f>
        <v>0.33544303797468356</v>
      </c>
    </row>
    <row r="29" spans="1:8" ht="24" customHeight="1" x14ac:dyDescent="0.25">
      <c r="D29" s="19" t="s">
        <v>575</v>
      </c>
    </row>
    <row r="31" spans="1:8" ht="30" customHeight="1" x14ac:dyDescent="0.25">
      <c r="D31" s="28" t="s">
        <v>45</v>
      </c>
      <c r="E31" s="28" t="s">
        <v>564</v>
      </c>
      <c r="F31" s="28" t="s">
        <v>552</v>
      </c>
      <c r="G31" s="28" t="s">
        <v>553</v>
      </c>
      <c r="H31" s="28" t="s">
        <v>555</v>
      </c>
    </row>
    <row r="32" spans="1:8" x14ac:dyDescent="0.25">
      <c r="D32" s="10" t="s">
        <v>20</v>
      </c>
      <c r="E32" s="10">
        <f>COUNTIF('Working Data'!L:L,D32)</f>
        <v>112</v>
      </c>
      <c r="F32" s="12">
        <f>SUMIF('Working Data'!L:L,D32,'Working Data'!G:G)</f>
        <v>124757941</v>
      </c>
      <c r="G32" s="10">
        <f>SUMIF('Working Data'!L:L,D32,'Working Data'!N:N)</f>
        <v>31</v>
      </c>
      <c r="H32" s="14">
        <f>G32/E32</f>
        <v>0.2767857142857143</v>
      </c>
    </row>
    <row r="33" spans="4:8" x14ac:dyDescent="0.25">
      <c r="D33" s="29" t="s">
        <v>21</v>
      </c>
      <c r="E33" s="29">
        <f>COUNTIF('Working Data'!L:L,D33)</f>
        <v>96</v>
      </c>
      <c r="F33" s="30">
        <f>SUMIF('Working Data'!L:L,D33,'Working Data'!G:G)</f>
        <v>104842843</v>
      </c>
      <c r="G33" s="29">
        <f>SUMIF('Working Data'!L:L,D33,'Working Data'!N:N)</f>
        <v>20</v>
      </c>
      <c r="H33" s="31">
        <f>G33/E33</f>
        <v>0.20833333333333334</v>
      </c>
    </row>
    <row r="34" spans="4:8" x14ac:dyDescent="0.25">
      <c r="D34" s="10" t="s">
        <v>19</v>
      </c>
      <c r="E34" s="10">
        <f>COUNTIF('Working Data'!L:L,D34)</f>
        <v>105</v>
      </c>
      <c r="F34" s="12">
        <f>SUMIF('Working Data'!L:L,D34,'Working Data'!G:G)</f>
        <v>100109383</v>
      </c>
      <c r="G34" s="10">
        <f>SUMIF('Working Data'!L:L,D34,'Working Data'!N:N)</f>
        <v>36</v>
      </c>
      <c r="H34" s="14">
        <f>G34/E34</f>
        <v>0.34285714285714286</v>
      </c>
    </row>
    <row r="35" spans="4:8" x14ac:dyDescent="0.25">
      <c r="D35" s="29" t="s">
        <v>22</v>
      </c>
      <c r="E35" s="29">
        <f>COUNTIF('Working Data'!L:L,D35)</f>
        <v>86</v>
      </c>
      <c r="F35" s="30">
        <f>SUMIF('Working Data'!L:L,D35,'Working Data'!G:G)</f>
        <v>79112835</v>
      </c>
      <c r="G35" s="29">
        <f>SUMIF('Working Data'!L:L,D35,'Working Data'!N:N)</f>
        <v>30</v>
      </c>
      <c r="H35" s="31">
        <f>G35/E35</f>
        <v>0.34883720930232559</v>
      </c>
    </row>
    <row r="36" spans="4:8" x14ac:dyDescent="0.25">
      <c r="D36" s="10" t="s">
        <v>18</v>
      </c>
      <c r="E36" s="10">
        <f>COUNTIF('Working Data'!L:L,D36)</f>
        <v>101</v>
      </c>
      <c r="F36" s="12">
        <f>SUMIF('Working Data'!L:L,D36,'Working Data'!G:G)</f>
        <v>101045606</v>
      </c>
      <c r="G36" s="10">
        <f>SUMIF('Working Data'!L:L,D36,'Working Data'!N:N)</f>
        <v>31</v>
      </c>
      <c r="H36" s="14">
        <f>G36/E36</f>
        <v>0.30693069306930693</v>
      </c>
    </row>
    <row r="39" spans="4:8" ht="24" customHeight="1" x14ac:dyDescent="0.25">
      <c r="D39" s="19" t="s">
        <v>576</v>
      </c>
    </row>
    <row r="41" spans="4:8" ht="30" customHeight="1" x14ac:dyDescent="0.25">
      <c r="D41" s="28" t="s">
        <v>577</v>
      </c>
      <c r="E41" s="28" t="s">
        <v>564</v>
      </c>
      <c r="F41" s="28" t="s">
        <v>553</v>
      </c>
      <c r="G41" s="28" t="s">
        <v>555</v>
      </c>
    </row>
    <row r="42" spans="4:8" x14ac:dyDescent="0.25">
      <c r="D42" s="10" t="s">
        <v>26</v>
      </c>
      <c r="E42" s="10">
        <f>COUNTIF('Working Data'!O:O,D42)</f>
        <v>261</v>
      </c>
      <c r="F42" s="10">
        <f>SUMIF('Working Data'!O:O,D42,'Working Data'!N:N)</f>
        <v>108</v>
      </c>
      <c r="G42" s="14">
        <f>F42/E42</f>
        <v>0.41379310344827586</v>
      </c>
    </row>
    <row r="43" spans="4:8" x14ac:dyDescent="0.25">
      <c r="D43" s="29" t="s">
        <v>24</v>
      </c>
      <c r="E43" s="29">
        <f>COUNTIF('Working Data'!O:O,D43)</f>
        <v>82</v>
      </c>
      <c r="F43" s="29">
        <f>SUMIF('Working Data'!O:O,D43,'Working Data'!N:N)</f>
        <v>15</v>
      </c>
      <c r="G43" s="31">
        <f>F43/E43</f>
        <v>0.18292682926829268</v>
      </c>
    </row>
    <row r="44" spans="4:8" x14ac:dyDescent="0.25">
      <c r="D44" s="10" t="s">
        <v>25</v>
      </c>
      <c r="E44" s="10">
        <f>COUNTIF('Working Data'!O:O,D44)</f>
        <v>58</v>
      </c>
      <c r="F44" s="10">
        <f>SUMIF('Working Data'!O:O,D44,'Working Data'!N:N)</f>
        <v>8</v>
      </c>
      <c r="G44" s="14">
        <f>F44/E44</f>
        <v>0.13793103448275862</v>
      </c>
    </row>
    <row r="45" spans="4:8" x14ac:dyDescent="0.25">
      <c r="D45" s="29" t="s">
        <v>23</v>
      </c>
      <c r="E45" s="29">
        <f>COUNTIF('Working Data'!O:O,D45)</f>
        <v>99</v>
      </c>
      <c r="F45" s="29">
        <f>SUMIF('Working Data'!O:O,D45,'Working Data'!N:N)</f>
        <v>17</v>
      </c>
      <c r="G45" s="31">
        <f>F45/E45</f>
        <v>0.17171717171717171</v>
      </c>
    </row>
    <row r="48" spans="4:8" ht="24" customHeight="1" x14ac:dyDescent="0.25">
      <c r="D48" s="19" t="s">
        <v>578</v>
      </c>
    </row>
    <row r="50" spans="4:7" ht="30" customHeight="1" x14ac:dyDescent="0.25">
      <c r="D50" s="28" t="s">
        <v>579</v>
      </c>
      <c r="E50" s="28" t="s">
        <v>564</v>
      </c>
      <c r="F50" s="28" t="s">
        <v>553</v>
      </c>
      <c r="G50" s="28" t="s">
        <v>555</v>
      </c>
    </row>
    <row r="51" spans="4:7" x14ac:dyDescent="0.25">
      <c r="D51" s="29" t="s">
        <v>28</v>
      </c>
      <c r="E51" s="29">
        <f>COUNTIF('Working Data'!P:P,D51)</f>
        <v>99</v>
      </c>
      <c r="F51" s="29">
        <f>SUMIF('Working Data'!P:P,D51,'Working Data'!N:N)</f>
        <v>27</v>
      </c>
      <c r="G51" s="31">
        <f>F51/E51</f>
        <v>0.27272727272727271</v>
      </c>
    </row>
    <row r="52" spans="4:7" ht="15.75" customHeight="1" x14ac:dyDescent="0.25">
      <c r="D52" s="10" t="s">
        <v>29</v>
      </c>
      <c r="E52" s="10">
        <f>COUNTIF('Working Data'!P:P,D52)</f>
        <v>189</v>
      </c>
      <c r="F52" s="10">
        <f>SUMIF('Working Data'!P:P,D52,'Working Data'!N:N)</f>
        <v>34</v>
      </c>
      <c r="G52" s="14">
        <f>F52/E52</f>
        <v>0.17989417989417988</v>
      </c>
    </row>
    <row r="53" spans="4:7" x14ac:dyDescent="0.25">
      <c r="D53" s="29" t="s">
        <v>27</v>
      </c>
      <c r="E53" s="29">
        <f>COUNTIF('Working Data'!P:P,D53)</f>
        <v>212</v>
      </c>
      <c r="F53" s="29">
        <f>SUMIF('Working Data'!P:P,D53,'Working Data'!N:N)</f>
        <v>87</v>
      </c>
      <c r="G53" s="31">
        <f>F53/E53</f>
        <v>0.41037735849056606</v>
      </c>
    </row>
    <row r="56" spans="4:7" ht="24" customHeight="1" x14ac:dyDescent="0.25">
      <c r="D56" s="19" t="s">
        <v>580</v>
      </c>
    </row>
    <row r="58" spans="4:7" ht="30" customHeight="1" x14ac:dyDescent="0.25">
      <c r="D58" s="28" t="s">
        <v>581</v>
      </c>
      <c r="E58" s="28" t="s">
        <v>564</v>
      </c>
      <c r="F58" s="28" t="s">
        <v>582</v>
      </c>
    </row>
    <row r="59" spans="4:7" x14ac:dyDescent="0.25">
      <c r="D59" s="29" t="s">
        <v>2</v>
      </c>
      <c r="E59" s="29">
        <f>COUNTIF('Working Data'!M:M,D59)</f>
        <v>128</v>
      </c>
      <c r="F59" s="31">
        <f>E59/$B$15</f>
        <v>0.25600000000000001</v>
      </c>
    </row>
    <row r="60" spans="4:7" x14ac:dyDescent="0.25">
      <c r="D60" s="10" t="s">
        <v>3</v>
      </c>
      <c r="E60" s="10">
        <f>COUNTIF('Working Data'!M:M,D60)</f>
        <v>142</v>
      </c>
      <c r="F60" s="14">
        <f>E60/$B$15</f>
        <v>0.28399999999999997</v>
      </c>
    </row>
    <row r="61" spans="4:7" ht="15.75" customHeight="1" x14ac:dyDescent="0.25">
      <c r="D61" s="29" t="s">
        <v>5</v>
      </c>
      <c r="E61" s="29">
        <f>COUNTIF('Working Data'!M:M,D61)</f>
        <v>110</v>
      </c>
      <c r="F61" s="31">
        <f>E61/$B$15</f>
        <v>0.22</v>
      </c>
    </row>
    <row r="62" spans="4:7" x14ac:dyDescent="0.25">
      <c r="D62" s="10" t="s">
        <v>4</v>
      </c>
      <c r="E62" s="10">
        <f>COUNTIF('Working Data'!M:M,D62)</f>
        <v>120</v>
      </c>
      <c r="F62" s="14">
        <f>E62/$B$15</f>
        <v>0.24</v>
      </c>
    </row>
    <row r="65" spans="4:7" ht="24" customHeight="1" x14ac:dyDescent="0.25">
      <c r="D65" s="19" t="s">
        <v>583</v>
      </c>
    </row>
    <row r="67" spans="4:7" ht="30" customHeight="1" x14ac:dyDescent="0.25">
      <c r="D67" s="28" t="s">
        <v>584</v>
      </c>
      <c r="E67" s="28" t="s">
        <v>585</v>
      </c>
      <c r="F67" s="28" t="s">
        <v>564</v>
      </c>
      <c r="G67" s="28" t="s">
        <v>552</v>
      </c>
    </row>
    <row r="68" spans="4:7" x14ac:dyDescent="0.25">
      <c r="D68" s="10">
        <v>2023</v>
      </c>
      <c r="E68" s="10">
        <v>1</v>
      </c>
      <c r="F68" s="10">
        <f>COUNTIFS('Working Data'!B:B,"&gt;="&amp;DATE(D68,E68,1),'Working Data'!B:B,"&lt;"&amp;EDATE(DATE(D68,E68,1),1))</f>
        <v>17</v>
      </c>
      <c r="G68" s="12">
        <f>SUMIFS('Working Data'!G:G,'Working Data'!B:B,"&gt;="&amp;DATE(D68,E68,1),'Working Data'!B:B,"&lt;"&amp;EDATE(DATE(D68,E68,1),1))</f>
        <v>16643952</v>
      </c>
    </row>
    <row r="69" spans="4:7" x14ac:dyDescent="0.25">
      <c r="D69" s="29">
        <v>2023</v>
      </c>
      <c r="E69" s="29">
        <v>2</v>
      </c>
      <c r="F69" s="29">
        <f>COUNTIFS('Working Data'!B:B,"&gt;="&amp;DATE(D69,E69,1),'Working Data'!B:B,"&lt;"&amp;EDATE(DATE(D69,E69,1),1))</f>
        <v>16</v>
      </c>
      <c r="G69" s="30">
        <f>SUMIFS('Working Data'!G:G,'Working Data'!B:B,"&gt;="&amp;DATE(D69,E69,1),'Working Data'!B:B,"&lt;"&amp;EDATE(DATE(D69,E69,1),1))</f>
        <v>14782283</v>
      </c>
    </row>
    <row r="70" spans="4:7" x14ac:dyDescent="0.25">
      <c r="D70" s="10">
        <v>2023</v>
      </c>
      <c r="E70" s="10">
        <v>3</v>
      </c>
      <c r="F70" s="10">
        <f>COUNTIFS('Working Data'!B:B,"&gt;="&amp;DATE(D70,E70,1),'Working Data'!B:B,"&lt;"&amp;EDATE(DATE(D70,E70,1),1))</f>
        <v>10</v>
      </c>
      <c r="G70" s="12">
        <f>SUMIFS('Working Data'!G:G,'Working Data'!B:B,"&gt;="&amp;DATE(D70,E70,1),'Working Data'!B:B,"&lt;"&amp;EDATE(DATE(D70,E70,1),1))</f>
        <v>9354542</v>
      </c>
    </row>
    <row r="71" spans="4:7" x14ac:dyDescent="0.25">
      <c r="D71" s="29">
        <v>2023</v>
      </c>
      <c r="E71" s="29">
        <v>4</v>
      </c>
      <c r="F71" s="29">
        <f>COUNTIFS('Working Data'!B:B,"&gt;="&amp;DATE(D71,E71,1),'Working Data'!B:B,"&lt;"&amp;EDATE(DATE(D71,E71,1),1))</f>
        <v>16</v>
      </c>
      <c r="G71" s="30">
        <f>SUMIFS('Working Data'!G:G,'Working Data'!B:B,"&gt;="&amp;DATE(D71,E71,1),'Working Data'!B:B,"&lt;"&amp;EDATE(DATE(D71,E71,1),1))</f>
        <v>15944339</v>
      </c>
    </row>
    <row r="72" spans="4:7" x14ac:dyDescent="0.25">
      <c r="D72" s="10">
        <v>2023</v>
      </c>
      <c r="E72" s="10">
        <v>5</v>
      </c>
      <c r="F72" s="10">
        <f>COUNTIFS('Working Data'!B:B,"&gt;="&amp;DATE(D72,E72,1),'Working Data'!B:B,"&lt;"&amp;EDATE(DATE(D72,E72,1),1))</f>
        <v>11</v>
      </c>
      <c r="G72" s="12">
        <f>SUMIFS('Working Data'!G:G,'Working Data'!B:B,"&gt;="&amp;DATE(D72,E72,1),'Working Data'!B:B,"&lt;"&amp;EDATE(DATE(D72,E72,1),1))</f>
        <v>8935853</v>
      </c>
    </row>
    <row r="73" spans="4:7" x14ac:dyDescent="0.25">
      <c r="D73" s="29">
        <v>2023</v>
      </c>
      <c r="E73" s="29">
        <v>6</v>
      </c>
      <c r="F73" s="29">
        <f>COUNTIFS('Working Data'!B:B,"&gt;="&amp;DATE(D73,E73,1),'Working Data'!B:B,"&lt;"&amp;EDATE(DATE(D73,E73,1),1))</f>
        <v>12</v>
      </c>
      <c r="G73" s="30">
        <f>SUMIFS('Working Data'!G:G,'Working Data'!B:B,"&gt;="&amp;DATE(D73,E73,1),'Working Data'!B:B,"&lt;"&amp;EDATE(DATE(D73,E73,1),1))</f>
        <v>10122647</v>
      </c>
    </row>
    <row r="74" spans="4:7" x14ac:dyDescent="0.25">
      <c r="D74" s="10">
        <v>2023</v>
      </c>
      <c r="E74" s="10">
        <v>7</v>
      </c>
      <c r="F74" s="10">
        <f>COUNTIFS('Working Data'!B:B,"&gt;="&amp;DATE(D74,E74,1),'Working Data'!B:B,"&lt;"&amp;EDATE(DATE(D74,E74,1),1))</f>
        <v>11</v>
      </c>
      <c r="G74" s="12">
        <f>SUMIFS('Working Data'!G:G,'Working Data'!B:B,"&gt;="&amp;DATE(D74,E74,1),'Working Data'!B:B,"&lt;"&amp;EDATE(DATE(D74,E74,1),1))</f>
        <v>10575054</v>
      </c>
    </row>
    <row r="75" spans="4:7" x14ac:dyDescent="0.25">
      <c r="D75" s="29">
        <v>2023</v>
      </c>
      <c r="E75" s="29">
        <v>8</v>
      </c>
      <c r="F75" s="29">
        <f>COUNTIFS('Working Data'!B:B,"&gt;="&amp;DATE(D75,E75,1),'Working Data'!B:B,"&lt;"&amp;EDATE(DATE(D75,E75,1),1))</f>
        <v>15</v>
      </c>
      <c r="G75" s="30">
        <f>SUMIFS('Working Data'!G:G,'Working Data'!B:B,"&gt;="&amp;DATE(D75,E75,1),'Working Data'!B:B,"&lt;"&amp;EDATE(DATE(D75,E75,1),1))</f>
        <v>14550084</v>
      </c>
    </row>
    <row r="76" spans="4:7" x14ac:dyDescent="0.25">
      <c r="D76" s="10">
        <v>2023</v>
      </c>
      <c r="E76" s="10">
        <v>9</v>
      </c>
      <c r="F76" s="10">
        <f>COUNTIFS('Working Data'!B:B,"&gt;="&amp;DATE(D76,E76,1),'Working Data'!B:B,"&lt;"&amp;EDATE(DATE(D76,E76,1),1))</f>
        <v>14</v>
      </c>
      <c r="G76" s="12">
        <f>SUMIFS('Working Data'!G:G,'Working Data'!B:B,"&gt;="&amp;DATE(D76,E76,1),'Working Data'!B:B,"&lt;"&amp;EDATE(DATE(D76,E76,1),1))</f>
        <v>14396464</v>
      </c>
    </row>
    <row r="77" spans="4:7" x14ac:dyDescent="0.25">
      <c r="D77" s="29">
        <v>2023</v>
      </c>
      <c r="E77" s="29">
        <v>10</v>
      </c>
      <c r="F77" s="29">
        <f>COUNTIFS('Working Data'!B:B,"&gt;="&amp;DATE(D77,E77,1),'Working Data'!B:B,"&lt;"&amp;EDATE(DATE(D77,E77,1),1))</f>
        <v>18</v>
      </c>
      <c r="G77" s="30">
        <f>SUMIFS('Working Data'!G:G,'Working Data'!B:B,"&gt;="&amp;DATE(D77,E77,1),'Working Data'!B:B,"&lt;"&amp;EDATE(DATE(D77,E77,1),1))</f>
        <v>18125126</v>
      </c>
    </row>
    <row r="78" spans="4:7" x14ac:dyDescent="0.25">
      <c r="D78" s="10">
        <v>2023</v>
      </c>
      <c r="E78" s="10">
        <v>11</v>
      </c>
      <c r="F78" s="10">
        <f>COUNTIFS('Working Data'!B:B,"&gt;="&amp;DATE(D78,E78,1),'Working Data'!B:B,"&lt;"&amp;EDATE(DATE(D78,E78,1),1))</f>
        <v>17</v>
      </c>
      <c r="G78" s="12">
        <f>SUMIFS('Working Data'!G:G,'Working Data'!B:B,"&gt;="&amp;DATE(D78,E78,1),'Working Data'!B:B,"&lt;"&amp;EDATE(DATE(D78,E78,1),1))</f>
        <v>13383138</v>
      </c>
    </row>
    <row r="79" spans="4:7" x14ac:dyDescent="0.25">
      <c r="D79" s="29">
        <v>2023</v>
      </c>
      <c r="E79" s="29">
        <v>12</v>
      </c>
      <c r="F79" s="29">
        <f>COUNTIFS('Working Data'!B:B,"&gt;="&amp;DATE(D79,E79,1),'Working Data'!B:B,"&lt;"&amp;EDATE(DATE(D79,E79,1),1))</f>
        <v>11</v>
      </c>
      <c r="G79" s="30">
        <f>SUMIFS('Working Data'!G:G,'Working Data'!B:B,"&gt;="&amp;DATE(D79,E79,1),'Working Data'!B:B,"&lt;"&amp;EDATE(DATE(D79,E79,1),1))</f>
        <v>9745176</v>
      </c>
    </row>
    <row r="80" spans="4:7" x14ac:dyDescent="0.25">
      <c r="D80" s="10">
        <v>2024</v>
      </c>
      <c r="E80" s="10">
        <v>1</v>
      </c>
      <c r="F80" s="10">
        <f>COUNTIFS('Working Data'!B:B,"&gt;="&amp;DATE(D80,E80,1),'Working Data'!B:B,"&lt;"&amp;EDATE(DATE(D80,E80,1),1))</f>
        <v>16</v>
      </c>
      <c r="G80" s="12">
        <f>SUMIFS('Working Data'!G:G,'Working Data'!B:B,"&gt;="&amp;DATE(D80,E80,1),'Working Data'!B:B,"&lt;"&amp;EDATE(DATE(D80,E80,1),1))</f>
        <v>15671166</v>
      </c>
    </row>
    <row r="81" spans="4:7" x14ac:dyDescent="0.25">
      <c r="D81" s="29">
        <v>2024</v>
      </c>
      <c r="E81" s="29">
        <v>2</v>
      </c>
      <c r="F81" s="29">
        <f>COUNTIFS('Working Data'!B:B,"&gt;="&amp;DATE(D81,E81,1),'Working Data'!B:B,"&lt;"&amp;EDATE(DATE(D81,E81,1),1))</f>
        <v>13</v>
      </c>
      <c r="G81" s="30">
        <f>SUMIFS('Working Data'!G:G,'Working Data'!B:B,"&gt;="&amp;DATE(D81,E81,1),'Working Data'!B:B,"&lt;"&amp;EDATE(DATE(D81,E81,1),1))</f>
        <v>11739267</v>
      </c>
    </row>
    <row r="82" spans="4:7" x14ac:dyDescent="0.25">
      <c r="D82" s="10">
        <v>2024</v>
      </c>
      <c r="E82" s="10">
        <v>3</v>
      </c>
      <c r="F82" s="10">
        <f>COUNTIFS('Working Data'!B:B,"&gt;="&amp;DATE(D82,E82,1),'Working Data'!B:B,"&lt;"&amp;EDATE(DATE(D82,E82,1),1))</f>
        <v>10</v>
      </c>
      <c r="G82" s="12">
        <f>SUMIFS('Working Data'!G:G,'Working Data'!B:B,"&gt;="&amp;DATE(D82,E82,1),'Working Data'!B:B,"&lt;"&amp;EDATE(DATE(D82,E82,1),1))</f>
        <v>11900083</v>
      </c>
    </row>
    <row r="83" spans="4:7" x14ac:dyDescent="0.25">
      <c r="D83" s="29">
        <v>2024</v>
      </c>
      <c r="E83" s="29">
        <v>4</v>
      </c>
      <c r="F83" s="29">
        <f>COUNTIFS('Working Data'!B:B,"&gt;="&amp;DATE(D83,E83,1),'Working Data'!B:B,"&lt;"&amp;EDATE(DATE(D83,E83,1),1))</f>
        <v>11</v>
      </c>
      <c r="G83" s="30">
        <f>SUMIFS('Working Data'!G:G,'Working Data'!B:B,"&gt;="&amp;DATE(D83,E83,1),'Working Data'!B:B,"&lt;"&amp;EDATE(DATE(D83,E83,1),1))</f>
        <v>13548154</v>
      </c>
    </row>
    <row r="84" spans="4:7" x14ac:dyDescent="0.25">
      <c r="D84" s="10">
        <v>2024</v>
      </c>
      <c r="E84" s="10">
        <v>5</v>
      </c>
      <c r="F84" s="10">
        <f>COUNTIFS('Working Data'!B:B,"&gt;="&amp;DATE(D84,E84,1),'Working Data'!B:B,"&lt;"&amp;EDATE(DATE(D84,E84,1),1))</f>
        <v>20</v>
      </c>
      <c r="G84" s="12">
        <f>SUMIFS('Working Data'!G:G,'Working Data'!B:B,"&gt;="&amp;DATE(D84,E84,1),'Working Data'!B:B,"&lt;"&amp;EDATE(DATE(D84,E84,1),1))</f>
        <v>20534800</v>
      </c>
    </row>
    <row r="85" spans="4:7" x14ac:dyDescent="0.25">
      <c r="D85" s="29">
        <v>2024</v>
      </c>
      <c r="E85" s="29">
        <v>6</v>
      </c>
      <c r="F85" s="29">
        <f>COUNTIFS('Working Data'!B:B,"&gt;="&amp;DATE(D85,E85,1),'Working Data'!B:B,"&lt;"&amp;EDATE(DATE(D85,E85,1),1))</f>
        <v>19</v>
      </c>
      <c r="G85" s="30">
        <f>SUMIFS('Working Data'!G:G,'Working Data'!B:B,"&gt;="&amp;DATE(D85,E85,1),'Working Data'!B:B,"&lt;"&amp;EDATE(DATE(D85,E85,1),1))</f>
        <v>16853725</v>
      </c>
    </row>
    <row r="86" spans="4:7" x14ac:dyDescent="0.25">
      <c r="D86" s="10">
        <v>2024</v>
      </c>
      <c r="E86" s="10">
        <v>7</v>
      </c>
      <c r="F86" s="10">
        <f>COUNTIFS('Working Data'!B:B,"&gt;="&amp;DATE(D86,E86,1),'Working Data'!B:B,"&lt;"&amp;EDATE(DATE(D86,E86,1),1))</f>
        <v>12</v>
      </c>
      <c r="G86" s="12">
        <f>SUMIFS('Working Data'!G:G,'Working Data'!B:B,"&gt;="&amp;DATE(D86,E86,1),'Working Data'!B:B,"&lt;"&amp;EDATE(DATE(D86,E86,1),1))</f>
        <v>13840979</v>
      </c>
    </row>
    <row r="87" spans="4:7" x14ac:dyDescent="0.25">
      <c r="D87" s="29">
        <v>2024</v>
      </c>
      <c r="E87" s="29">
        <v>8</v>
      </c>
      <c r="F87" s="29">
        <f>COUNTIFS('Working Data'!B:B,"&gt;="&amp;DATE(D87,E87,1),'Working Data'!B:B,"&lt;"&amp;EDATE(DATE(D87,E87,1),1))</f>
        <v>15</v>
      </c>
      <c r="G87" s="30">
        <f>SUMIFS('Working Data'!G:G,'Working Data'!B:B,"&gt;="&amp;DATE(D87,E87,1),'Working Data'!B:B,"&lt;"&amp;EDATE(DATE(D87,E87,1),1))</f>
        <v>17940921</v>
      </c>
    </row>
    <row r="88" spans="4:7" x14ac:dyDescent="0.25">
      <c r="D88" s="10">
        <v>2024</v>
      </c>
      <c r="E88" s="10">
        <v>9</v>
      </c>
      <c r="F88" s="10">
        <f>COUNTIFS('Working Data'!B:B,"&gt;="&amp;DATE(D88,E88,1),'Working Data'!B:B,"&lt;"&amp;EDATE(DATE(D88,E88,1),1))</f>
        <v>18</v>
      </c>
      <c r="G88" s="12">
        <f>SUMIFS('Working Data'!G:G,'Working Data'!B:B,"&gt;="&amp;DATE(D88,E88,1),'Working Data'!B:B,"&lt;"&amp;EDATE(DATE(D88,E88,1),1))</f>
        <v>18362264</v>
      </c>
    </row>
    <row r="89" spans="4:7" x14ac:dyDescent="0.25">
      <c r="D89" s="29">
        <v>2024</v>
      </c>
      <c r="E89" s="29">
        <v>10</v>
      </c>
      <c r="F89" s="29">
        <f>COUNTIFS('Working Data'!B:B,"&gt;="&amp;DATE(D89,E89,1),'Working Data'!B:B,"&lt;"&amp;EDATE(DATE(D89,E89,1),1))</f>
        <v>17</v>
      </c>
      <c r="G89" s="30">
        <f>SUMIFS('Working Data'!G:G,'Working Data'!B:B,"&gt;="&amp;DATE(D89,E89,1),'Working Data'!B:B,"&lt;"&amp;EDATE(DATE(D89,E89,1),1))</f>
        <v>16024553</v>
      </c>
    </row>
    <row r="90" spans="4:7" x14ac:dyDescent="0.25">
      <c r="D90" s="10">
        <v>2024</v>
      </c>
      <c r="E90" s="10">
        <v>11</v>
      </c>
      <c r="F90" s="10">
        <f>COUNTIFS('Working Data'!B:B,"&gt;="&amp;DATE(D90,E90,1),'Working Data'!B:B,"&lt;"&amp;EDATE(DATE(D90,E90,1),1))</f>
        <v>16</v>
      </c>
      <c r="G90" s="12">
        <f>SUMIFS('Working Data'!G:G,'Working Data'!B:B,"&gt;="&amp;DATE(D90,E90,1),'Working Data'!B:B,"&lt;"&amp;EDATE(DATE(D90,E90,1),1))</f>
        <v>16419516</v>
      </c>
    </row>
    <row r="91" spans="4:7" x14ac:dyDescent="0.25">
      <c r="D91" s="29">
        <v>2024</v>
      </c>
      <c r="E91" s="29">
        <v>12</v>
      </c>
      <c r="F91" s="29">
        <f>COUNTIFS('Working Data'!B:B,"&gt;="&amp;DATE(D91,E91,1),'Working Data'!B:B,"&lt;"&amp;EDATE(DATE(D91,E91,1),1))</f>
        <v>14</v>
      </c>
      <c r="G91" s="30">
        <f>SUMIFS('Working Data'!G:G,'Working Data'!B:B,"&gt;="&amp;DATE(D91,E91,1),'Working Data'!B:B,"&lt;"&amp;EDATE(DATE(D91,E91,1),1))</f>
        <v>13383905</v>
      </c>
    </row>
    <row r="92" spans="4:7" x14ac:dyDescent="0.25">
      <c r="D92" s="10">
        <v>2025</v>
      </c>
      <c r="E92" s="10">
        <v>1</v>
      </c>
      <c r="F92" s="10">
        <f>COUNTIFS('Working Data'!B:B,"&gt;="&amp;DATE(D92,E92,1),'Working Data'!B:B,"&lt;"&amp;EDATE(DATE(D92,E92,1),1))</f>
        <v>9</v>
      </c>
      <c r="G92" s="12">
        <f>SUMIFS('Working Data'!G:G,'Working Data'!B:B,"&gt;="&amp;DATE(D92,E92,1),'Working Data'!B:B,"&lt;"&amp;EDATE(DATE(D92,E92,1),1))</f>
        <v>10339615</v>
      </c>
    </row>
    <row r="93" spans="4:7" x14ac:dyDescent="0.25">
      <c r="D93" s="29">
        <v>2025</v>
      </c>
      <c r="E93" s="29">
        <v>2</v>
      </c>
      <c r="F93" s="29">
        <f>COUNTIFS('Working Data'!B:B,"&gt;="&amp;DATE(D93,E93,1),'Working Data'!B:B,"&lt;"&amp;EDATE(DATE(D93,E93,1),1))</f>
        <v>14</v>
      </c>
      <c r="G93" s="30">
        <f>SUMIFS('Working Data'!G:G,'Working Data'!B:B,"&gt;="&amp;DATE(D93,E93,1),'Working Data'!B:B,"&lt;"&amp;EDATE(DATE(D93,E93,1),1))</f>
        <v>14118992</v>
      </c>
    </row>
    <row r="94" spans="4:7" x14ac:dyDescent="0.25">
      <c r="D94" s="10">
        <v>2025</v>
      </c>
      <c r="E94" s="10">
        <v>3</v>
      </c>
      <c r="F94" s="10">
        <f>COUNTIFS('Working Data'!B:B,"&gt;="&amp;DATE(D94,E94,1),'Working Data'!B:B,"&lt;"&amp;EDATE(DATE(D94,E94,1),1))</f>
        <v>10</v>
      </c>
      <c r="G94" s="12">
        <f>SUMIFS('Working Data'!G:G,'Working Data'!B:B,"&gt;="&amp;DATE(D94,E94,1),'Working Data'!B:B,"&lt;"&amp;EDATE(DATE(D94,E94,1),1))</f>
        <v>13414447</v>
      </c>
    </row>
    <row r="95" spans="4:7" x14ac:dyDescent="0.25">
      <c r="D95" s="29">
        <v>2025</v>
      </c>
      <c r="E95" s="29">
        <v>4</v>
      </c>
      <c r="F95" s="29">
        <f>COUNTIFS('Working Data'!B:B,"&gt;="&amp;DATE(D95,E95,1),'Working Data'!B:B,"&lt;"&amp;EDATE(DATE(D95,E95,1),1))</f>
        <v>20</v>
      </c>
      <c r="G95" s="30">
        <f>SUMIFS('Working Data'!G:G,'Working Data'!B:B,"&gt;="&amp;DATE(D95,E95,1),'Working Data'!B:B,"&lt;"&amp;EDATE(DATE(D95,E95,1),1))</f>
        <v>21567147</v>
      </c>
    </row>
    <row r="96" spans="4:7" x14ac:dyDescent="0.25">
      <c r="D96" s="10">
        <v>2025</v>
      </c>
      <c r="E96" s="10">
        <v>5</v>
      </c>
      <c r="F96" s="10">
        <f>COUNTIFS('Working Data'!B:B,"&gt;="&amp;DATE(D96,E96,1),'Working Data'!B:B,"&lt;"&amp;EDATE(DATE(D96,E96,1),1))</f>
        <v>11</v>
      </c>
      <c r="G96" s="12">
        <f>SUMIFS('Working Data'!G:G,'Working Data'!B:B,"&gt;="&amp;DATE(D96,E96,1),'Working Data'!B:B,"&lt;"&amp;EDATE(DATE(D96,E96,1),1))</f>
        <v>10593353</v>
      </c>
    </row>
    <row r="97" spans="4:7" x14ac:dyDescent="0.25">
      <c r="D97" s="29">
        <v>2025</v>
      </c>
      <c r="E97" s="29">
        <v>6</v>
      </c>
      <c r="F97" s="29">
        <f>COUNTIFS('Working Data'!B:B,"&gt;="&amp;DATE(D97,E97,1),'Working Data'!B:B,"&lt;"&amp;EDATE(DATE(D97,E97,1),1))</f>
        <v>8</v>
      </c>
      <c r="G97" s="30">
        <f>SUMIFS('Working Data'!G:G,'Working Data'!B:B,"&gt;="&amp;DATE(D97,E97,1),'Working Data'!B:B,"&lt;"&amp;EDATE(DATE(D97,E97,1),1))</f>
        <v>10579421</v>
      </c>
    </row>
    <row r="98" spans="4:7" x14ac:dyDescent="0.25">
      <c r="D98" s="10">
        <v>2025</v>
      </c>
      <c r="E98" s="10">
        <v>7</v>
      </c>
      <c r="F98" s="10">
        <f>COUNTIFS('Working Data'!B:B,"&gt;="&amp;DATE(D98,E98,1),'Working Data'!B:B,"&lt;"&amp;EDATE(DATE(D98,E98,1),1))</f>
        <v>10</v>
      </c>
      <c r="G98" s="12">
        <f>SUMIFS('Working Data'!G:G,'Working Data'!B:B,"&gt;="&amp;DATE(D98,E98,1),'Working Data'!B:B,"&lt;"&amp;EDATE(DATE(D98,E98,1),1))</f>
        <v>12525405</v>
      </c>
    </row>
    <row r="99" spans="4:7" x14ac:dyDescent="0.25">
      <c r="D99" s="29">
        <v>2025</v>
      </c>
      <c r="E99" s="29">
        <v>8</v>
      </c>
      <c r="F99" s="29">
        <f>COUNTIFS('Working Data'!B:B,"&gt;="&amp;DATE(D99,E99,1),'Working Data'!B:B,"&lt;"&amp;EDATE(DATE(D99,E99,1),1))</f>
        <v>10</v>
      </c>
      <c r="G99" s="30">
        <f>SUMIFS('Working Data'!G:G,'Working Data'!B:B,"&gt;="&amp;DATE(D99,E99,1),'Working Data'!B:B,"&lt;"&amp;EDATE(DATE(D99,E99,1),1))</f>
        <v>8909024</v>
      </c>
    </row>
    <row r="100" spans="4:7" x14ac:dyDescent="0.25">
      <c r="D100" s="10">
        <v>2025</v>
      </c>
      <c r="E100" s="10">
        <v>9</v>
      </c>
      <c r="F100" s="10">
        <f>COUNTIFS('Working Data'!B:B,"&gt;="&amp;DATE(D100,E100,1),'Working Data'!B:B,"&lt;"&amp;EDATE(DATE(D100,E100,1),1))</f>
        <v>14</v>
      </c>
      <c r="G100" s="12">
        <f>SUMIFS('Working Data'!G:G,'Working Data'!B:B,"&gt;="&amp;DATE(D100,E100,1),'Working Data'!B:B,"&lt;"&amp;EDATE(DATE(D100,E100,1),1))</f>
        <v>15014050</v>
      </c>
    </row>
    <row r="101" spans="4:7" x14ac:dyDescent="0.25">
      <c r="D101" s="29">
        <v>2025</v>
      </c>
      <c r="E101" s="29">
        <v>10</v>
      </c>
      <c r="F101" s="29">
        <f>COUNTIFS('Working Data'!B:B,"&gt;="&amp;DATE(D101,E101,1),'Working Data'!B:B,"&lt;"&amp;EDATE(DATE(D101,E101,1),1))</f>
        <v>18</v>
      </c>
      <c r="G101" s="30">
        <f>SUMIFS('Working Data'!G:G,'Working Data'!B:B,"&gt;="&amp;DATE(D101,E101,1),'Working Data'!B:B,"&lt;"&amp;EDATE(DATE(D101,E101,1),1))</f>
        <v>18606707</v>
      </c>
    </row>
    <row r="102" spans="4:7" x14ac:dyDescent="0.25">
      <c r="D102" s="10">
        <v>2025</v>
      </c>
      <c r="E102" s="10">
        <v>11</v>
      </c>
      <c r="F102" s="10">
        <f>COUNTIFS('Working Data'!B:B,"&gt;="&amp;DATE(D102,E102,1),'Working Data'!B:B,"&lt;"&amp;EDATE(DATE(D102,E102,1),1))</f>
        <v>12</v>
      </c>
      <c r="G102" s="12">
        <f>SUMIFS('Working Data'!G:G,'Working Data'!B:B,"&gt;="&amp;DATE(D102,E102,1),'Working Data'!B:B,"&lt;"&amp;EDATE(DATE(D102,E102,1),1))</f>
        <v>14890221</v>
      </c>
    </row>
    <row r="103" spans="4:7" x14ac:dyDescent="0.25">
      <c r="D103" s="29">
        <v>2025</v>
      </c>
      <c r="E103" s="29">
        <v>12</v>
      </c>
      <c r="F103" s="29">
        <f>COUNTIFS('Working Data'!B:B,"&gt;="&amp;DATE(D103,E103,1),'Working Data'!B:B,"&lt;"&amp;EDATE(DATE(D103,E103,1),1))</f>
        <v>15</v>
      </c>
      <c r="G103" s="30">
        <f>SUMIFS('Working Data'!G:G,'Working Data'!B:B,"&gt;="&amp;DATE(D103,E103,1),'Working Data'!B:B,"&lt;"&amp;EDATE(DATE(D103,E103,1),1))</f>
        <v>16532235</v>
      </c>
    </row>
  </sheetData>
  <conditionalFormatting sqref="F59:F62">
    <cfRule type="colorScale" priority="6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G24:G26">
    <cfRule type="colorScale" priority="2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G42:G45">
    <cfRule type="colorScale" priority="4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G51:G53">
    <cfRule type="colorScale" priority="5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H11:H16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conditionalFormatting sqref="H32:H36">
    <cfRule type="colorScale" priority="3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3" right="0.3" top="0.5" bottom="0.5" header="0.3" footer="0.3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B7280"/>
    <pageSetUpPr fitToPage="1"/>
  </sheetPr>
  <dimension ref="A1:P501"/>
  <sheetViews>
    <sheetView showGridLines="0" topLeftCell="A34" zoomScale="90" workbookViewId="0">
      <pane ySplit="1" topLeftCell="A2" activePane="bottomLeft" state="frozen"/>
      <selection pane="bottomLeft" activeCell="H40" sqref="H40"/>
    </sheetView>
  </sheetViews>
  <sheetFormatPr defaultRowHeight="15" x14ac:dyDescent="0.25"/>
  <cols>
    <col min="1" max="1" width="12" style="2" customWidth="1"/>
    <col min="2" max="2" width="15" style="2" bestFit="1" customWidth="1"/>
    <col min="3" max="3" width="13" style="2" bestFit="1" customWidth="1"/>
    <col min="4" max="4" width="17" style="2" bestFit="1" customWidth="1"/>
    <col min="5" max="5" width="16" style="2" bestFit="1" customWidth="1"/>
    <col min="6" max="6" width="13" style="2" bestFit="1" customWidth="1"/>
    <col min="7" max="7" width="16" style="2" bestFit="1" customWidth="1"/>
    <col min="8" max="8" width="13" style="2" bestFit="1" customWidth="1"/>
    <col min="9" max="9" width="18" style="2" bestFit="1" customWidth="1"/>
    <col min="10" max="10" width="14" style="2" bestFit="1" customWidth="1"/>
    <col min="11" max="11" width="16" style="2" bestFit="1" customWidth="1"/>
    <col min="12" max="12" width="12" style="2" customWidth="1"/>
    <col min="13" max="13" width="14" style="2" bestFit="1" customWidth="1"/>
    <col min="14" max="14" width="13" style="2" bestFit="1" customWidth="1"/>
    <col min="15" max="15" width="18" style="2" customWidth="1"/>
    <col min="16" max="16" width="13" style="2" customWidth="1"/>
  </cols>
  <sheetData>
    <row r="1" spans="1:15" ht="27.95" customHeight="1" x14ac:dyDescent="0.25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  <c r="J1" s="7" t="s">
        <v>43</v>
      </c>
      <c r="K1" s="7" t="s">
        <v>44</v>
      </c>
      <c r="L1" s="7" t="s">
        <v>45</v>
      </c>
      <c r="M1" s="7" t="s">
        <v>46</v>
      </c>
      <c r="N1" s="7" t="s">
        <v>47</v>
      </c>
      <c r="O1" s="7"/>
    </row>
    <row r="2" spans="1:15" x14ac:dyDescent="0.25">
      <c r="A2" s="10" t="s">
        <v>50</v>
      </c>
      <c r="B2" s="11">
        <v>45247</v>
      </c>
      <c r="C2" s="10">
        <v>65</v>
      </c>
      <c r="D2" s="10" t="s">
        <v>16</v>
      </c>
      <c r="E2" s="12">
        <v>1459358</v>
      </c>
      <c r="F2" s="10">
        <v>434</v>
      </c>
      <c r="G2" s="12">
        <v>1730164</v>
      </c>
      <c r="H2" s="13">
        <v>9</v>
      </c>
      <c r="I2" s="10">
        <v>24</v>
      </c>
      <c r="J2" s="10" t="s">
        <v>10</v>
      </c>
      <c r="K2" s="14">
        <v>0.22</v>
      </c>
      <c r="L2" s="10" t="s">
        <v>20</v>
      </c>
      <c r="M2" s="10" t="s">
        <v>3</v>
      </c>
      <c r="N2" s="10">
        <v>0</v>
      </c>
      <c r="O2" s="10"/>
    </row>
    <row r="3" spans="1:15" x14ac:dyDescent="0.25">
      <c r="A3" s="9" t="s">
        <v>51</v>
      </c>
      <c r="B3" s="15">
        <v>45868</v>
      </c>
      <c r="C3" s="9">
        <v>27</v>
      </c>
      <c r="D3" s="9" t="s">
        <v>16</v>
      </c>
      <c r="E3" s="16">
        <v>1383991</v>
      </c>
      <c r="F3" s="9">
        <v>315</v>
      </c>
      <c r="G3" s="16">
        <v>1604874</v>
      </c>
      <c r="H3" s="17">
        <v>21</v>
      </c>
      <c r="I3" s="9">
        <v>60</v>
      </c>
      <c r="J3" s="9" t="s">
        <v>13</v>
      </c>
      <c r="K3" s="18">
        <v>0.39</v>
      </c>
      <c r="L3" s="9" t="s">
        <v>18</v>
      </c>
      <c r="M3" s="9" t="s">
        <v>4</v>
      </c>
      <c r="N3" s="9">
        <v>1</v>
      </c>
      <c r="O3" s="9"/>
    </row>
    <row r="4" spans="1:15" x14ac:dyDescent="0.25">
      <c r="A4" s="10" t="s">
        <v>52</v>
      </c>
      <c r="B4" s="11">
        <v>45506</v>
      </c>
      <c r="C4" s="10">
        <v>64</v>
      </c>
      <c r="D4" s="10" t="s">
        <v>9</v>
      </c>
      <c r="E4" s="12">
        <v>979635</v>
      </c>
      <c r="F4" s="10">
        <v>786</v>
      </c>
      <c r="G4" s="12">
        <v>1096480</v>
      </c>
      <c r="H4" s="13">
        <v>7</v>
      </c>
      <c r="I4" s="10">
        <v>60</v>
      </c>
      <c r="J4" s="10" t="s">
        <v>11</v>
      </c>
      <c r="K4" s="14">
        <v>0.12</v>
      </c>
      <c r="L4" s="10" t="s">
        <v>22</v>
      </c>
      <c r="M4" s="10" t="s">
        <v>4</v>
      </c>
      <c r="N4" s="10">
        <v>0</v>
      </c>
      <c r="O4" s="10"/>
    </row>
    <row r="5" spans="1:15" x14ac:dyDescent="0.25">
      <c r="A5" s="9" t="s">
        <v>53</v>
      </c>
      <c r="B5" s="15">
        <v>45280</v>
      </c>
      <c r="C5" s="9">
        <v>65</v>
      </c>
      <c r="D5" s="9" t="s">
        <v>16</v>
      </c>
      <c r="E5" s="16">
        <v>1482614</v>
      </c>
      <c r="F5" s="9">
        <v>580</v>
      </c>
      <c r="G5" s="16">
        <v>218134</v>
      </c>
      <c r="H5" s="17">
        <v>17</v>
      </c>
      <c r="I5" s="9">
        <v>12</v>
      </c>
      <c r="J5" s="9" t="s">
        <v>9</v>
      </c>
      <c r="K5" s="18">
        <v>0.36</v>
      </c>
      <c r="L5" s="9" t="s">
        <v>22</v>
      </c>
      <c r="M5" s="9" t="s">
        <v>5</v>
      </c>
      <c r="N5" s="9">
        <v>0</v>
      </c>
      <c r="O5" s="9"/>
    </row>
    <row r="6" spans="1:15" x14ac:dyDescent="0.25">
      <c r="A6" s="10" t="s">
        <v>54</v>
      </c>
      <c r="B6" s="11">
        <v>45323</v>
      </c>
      <c r="C6" s="10">
        <v>65</v>
      </c>
      <c r="D6" s="10" t="s">
        <v>17</v>
      </c>
      <c r="E6" s="12">
        <v>2227831</v>
      </c>
      <c r="F6" s="10">
        <v>315</v>
      </c>
      <c r="G6" s="12">
        <v>1396820</v>
      </c>
      <c r="H6" s="13">
        <v>12</v>
      </c>
      <c r="I6" s="10">
        <v>24</v>
      </c>
      <c r="J6" s="10" t="s">
        <v>14</v>
      </c>
      <c r="K6" s="14">
        <v>0.48</v>
      </c>
      <c r="L6" s="10" t="s">
        <v>20</v>
      </c>
      <c r="M6" s="10" t="s">
        <v>4</v>
      </c>
      <c r="N6" s="10">
        <v>0</v>
      </c>
      <c r="O6" s="10"/>
    </row>
    <row r="7" spans="1:15" x14ac:dyDescent="0.25">
      <c r="A7" s="9" t="s">
        <v>55</v>
      </c>
      <c r="B7" s="15">
        <v>45322</v>
      </c>
      <c r="C7" s="9">
        <v>57</v>
      </c>
      <c r="D7" s="9" t="s">
        <v>9</v>
      </c>
      <c r="E7" s="16">
        <v>1312014</v>
      </c>
      <c r="F7" s="9">
        <v>694</v>
      </c>
      <c r="G7" s="16">
        <v>736968</v>
      </c>
      <c r="H7" s="17">
        <v>23</v>
      </c>
      <c r="I7" s="9">
        <v>36</v>
      </c>
      <c r="J7" s="9" t="s">
        <v>13</v>
      </c>
      <c r="K7" s="18">
        <v>0.53</v>
      </c>
      <c r="L7" s="9" t="s">
        <v>19</v>
      </c>
      <c r="M7" s="9" t="s">
        <v>4</v>
      </c>
      <c r="N7" s="9">
        <v>0</v>
      </c>
      <c r="O7" s="9"/>
    </row>
    <row r="8" spans="1:15" x14ac:dyDescent="0.25">
      <c r="A8" s="10" t="s">
        <v>56</v>
      </c>
      <c r="B8" s="11">
        <v>45293</v>
      </c>
      <c r="C8" s="10">
        <v>50</v>
      </c>
      <c r="D8" s="10" t="s">
        <v>16</v>
      </c>
      <c r="E8" s="12">
        <v>1584239</v>
      </c>
      <c r="F8" s="10">
        <v>806</v>
      </c>
      <c r="G8" s="12">
        <v>1432594</v>
      </c>
      <c r="H8" s="13">
        <v>18</v>
      </c>
      <c r="I8" s="10">
        <v>36</v>
      </c>
      <c r="J8" s="10" t="s">
        <v>14</v>
      </c>
      <c r="K8" s="14">
        <v>0.56000000000000005</v>
      </c>
      <c r="L8" s="10" t="s">
        <v>20</v>
      </c>
      <c r="M8" s="10" t="s">
        <v>5</v>
      </c>
      <c r="N8" s="10">
        <v>0</v>
      </c>
      <c r="O8" s="10"/>
    </row>
    <row r="9" spans="1:15" x14ac:dyDescent="0.25">
      <c r="A9" s="9" t="s">
        <v>57</v>
      </c>
      <c r="B9" s="15">
        <v>45541</v>
      </c>
      <c r="C9" s="9">
        <v>37</v>
      </c>
      <c r="D9" s="9" t="s">
        <v>9</v>
      </c>
      <c r="E9" s="16">
        <v>799794</v>
      </c>
      <c r="F9" s="9">
        <v>824</v>
      </c>
      <c r="G9" s="16">
        <v>464708</v>
      </c>
      <c r="H9" s="17">
        <v>14</v>
      </c>
      <c r="I9" s="9">
        <v>24</v>
      </c>
      <c r="J9" s="9" t="s">
        <v>10</v>
      </c>
      <c r="K9" s="18">
        <v>0.28000000000000003</v>
      </c>
      <c r="L9" s="9" t="s">
        <v>20</v>
      </c>
      <c r="M9" s="9" t="s">
        <v>3</v>
      </c>
      <c r="N9" s="9">
        <v>0</v>
      </c>
      <c r="O9" s="9"/>
    </row>
    <row r="10" spans="1:15" x14ac:dyDescent="0.25">
      <c r="A10" s="10" t="s">
        <v>58</v>
      </c>
      <c r="B10" s="11">
        <v>45998</v>
      </c>
      <c r="C10" s="10">
        <v>39</v>
      </c>
      <c r="D10" s="10" t="s">
        <v>9</v>
      </c>
      <c r="E10" s="12">
        <v>2170628</v>
      </c>
      <c r="F10" s="10">
        <v>440</v>
      </c>
      <c r="G10" s="12">
        <v>1455451</v>
      </c>
      <c r="H10" s="13">
        <v>16</v>
      </c>
      <c r="I10" s="10">
        <v>12</v>
      </c>
      <c r="J10" s="10" t="s">
        <v>14</v>
      </c>
      <c r="K10" s="14">
        <v>0.57999999999999996</v>
      </c>
      <c r="L10" s="10" t="s">
        <v>19</v>
      </c>
      <c r="M10" s="10" t="s">
        <v>4</v>
      </c>
      <c r="N10" s="10">
        <v>1</v>
      </c>
      <c r="O10" s="10"/>
    </row>
    <row r="11" spans="1:15" x14ac:dyDescent="0.25">
      <c r="A11" s="9" t="s">
        <v>59</v>
      </c>
      <c r="B11" s="15">
        <v>45585</v>
      </c>
      <c r="C11" s="9">
        <v>47</v>
      </c>
      <c r="D11" s="9" t="s">
        <v>9</v>
      </c>
      <c r="E11" s="16">
        <v>1992137</v>
      </c>
      <c r="F11" s="9">
        <v>763</v>
      </c>
      <c r="G11" s="16">
        <v>894268</v>
      </c>
      <c r="H11" s="17">
        <v>17</v>
      </c>
      <c r="I11" s="9">
        <v>36</v>
      </c>
      <c r="J11" s="9" t="s">
        <v>12</v>
      </c>
      <c r="K11" s="18">
        <v>0.37</v>
      </c>
      <c r="L11" s="9" t="s">
        <v>22</v>
      </c>
      <c r="M11" s="9" t="s">
        <v>5</v>
      </c>
      <c r="N11" s="9">
        <v>1</v>
      </c>
      <c r="O11" s="9"/>
    </row>
    <row r="12" spans="1:15" x14ac:dyDescent="0.25">
      <c r="A12" s="10" t="s">
        <v>60</v>
      </c>
      <c r="B12" s="11">
        <v>44943</v>
      </c>
      <c r="C12" s="10">
        <v>51</v>
      </c>
      <c r="D12" s="10" t="s">
        <v>16</v>
      </c>
      <c r="E12" s="12">
        <v>737473</v>
      </c>
      <c r="F12" s="10">
        <v>693</v>
      </c>
      <c r="G12" s="12">
        <v>330315</v>
      </c>
      <c r="H12" s="13">
        <v>16</v>
      </c>
      <c r="I12" s="10">
        <v>36</v>
      </c>
      <c r="J12" s="10" t="s">
        <v>13</v>
      </c>
      <c r="K12" s="14">
        <v>0.52</v>
      </c>
      <c r="L12" s="10" t="s">
        <v>18</v>
      </c>
      <c r="M12" s="10" t="s">
        <v>3</v>
      </c>
      <c r="N12" s="10">
        <v>0</v>
      </c>
      <c r="O12" s="10"/>
    </row>
    <row r="13" spans="1:15" x14ac:dyDescent="0.25">
      <c r="A13" s="9" t="s">
        <v>61</v>
      </c>
      <c r="B13" s="15">
        <v>45375</v>
      </c>
      <c r="C13" s="9">
        <v>35</v>
      </c>
      <c r="D13" s="9" t="s">
        <v>9</v>
      </c>
      <c r="E13" s="16">
        <v>1725813</v>
      </c>
      <c r="F13" s="9">
        <v>798</v>
      </c>
      <c r="G13" s="16">
        <v>1922714</v>
      </c>
      <c r="H13" s="17">
        <v>14</v>
      </c>
      <c r="I13" s="9">
        <v>24</v>
      </c>
      <c r="J13" s="9" t="s">
        <v>9</v>
      </c>
      <c r="K13" s="18">
        <v>0.54</v>
      </c>
      <c r="L13" s="9" t="s">
        <v>21</v>
      </c>
      <c r="M13" s="9" t="s">
        <v>3</v>
      </c>
      <c r="N13" s="9">
        <v>0</v>
      </c>
      <c r="O13" s="9"/>
    </row>
    <row r="14" spans="1:15" x14ac:dyDescent="0.25">
      <c r="A14" s="10" t="s">
        <v>62</v>
      </c>
      <c r="B14" s="11">
        <v>45980</v>
      </c>
      <c r="C14" s="10">
        <v>46</v>
      </c>
      <c r="D14" s="10" t="s">
        <v>17</v>
      </c>
      <c r="E14" s="12">
        <v>1258993</v>
      </c>
      <c r="F14" s="10">
        <v>372</v>
      </c>
      <c r="G14" s="12">
        <v>975336</v>
      </c>
      <c r="H14" s="13">
        <v>22</v>
      </c>
      <c r="I14" s="10">
        <v>60</v>
      </c>
      <c r="J14" s="10" t="s">
        <v>9</v>
      </c>
      <c r="K14" s="14">
        <v>0.14000000000000001</v>
      </c>
      <c r="L14" s="10" t="s">
        <v>19</v>
      </c>
      <c r="M14" s="10" t="s">
        <v>2</v>
      </c>
      <c r="N14" s="10">
        <v>0</v>
      </c>
      <c r="O14" s="10"/>
    </row>
    <row r="15" spans="1:15" x14ac:dyDescent="0.25">
      <c r="A15" s="9" t="s">
        <v>63</v>
      </c>
      <c r="B15" s="15">
        <v>45675</v>
      </c>
      <c r="C15" s="9">
        <v>33</v>
      </c>
      <c r="D15" s="9" t="s">
        <v>9</v>
      </c>
      <c r="E15" s="16">
        <v>1472140</v>
      </c>
      <c r="F15" s="9">
        <v>411</v>
      </c>
      <c r="G15" s="16">
        <v>525635</v>
      </c>
      <c r="H15" s="17">
        <v>23</v>
      </c>
      <c r="I15" s="9">
        <v>24</v>
      </c>
      <c r="J15" s="9" t="s">
        <v>14</v>
      </c>
      <c r="K15" s="18">
        <v>0.14000000000000001</v>
      </c>
      <c r="L15" s="9" t="s">
        <v>19</v>
      </c>
      <c r="M15" s="9" t="s">
        <v>4</v>
      </c>
      <c r="N15" s="9">
        <v>0</v>
      </c>
      <c r="O15" s="9"/>
    </row>
    <row r="16" spans="1:15" x14ac:dyDescent="0.25">
      <c r="A16" s="10" t="s">
        <v>64</v>
      </c>
      <c r="B16" s="11">
        <v>45608</v>
      </c>
      <c r="C16" s="10">
        <v>33</v>
      </c>
      <c r="D16" s="10" t="s">
        <v>9</v>
      </c>
      <c r="E16" s="12">
        <v>1248515</v>
      </c>
      <c r="F16" s="10">
        <v>533</v>
      </c>
      <c r="G16" s="12">
        <v>1277968</v>
      </c>
      <c r="H16" s="13">
        <v>23</v>
      </c>
      <c r="I16" s="10">
        <v>36</v>
      </c>
      <c r="J16" s="10" t="s">
        <v>13</v>
      </c>
      <c r="K16" s="14">
        <v>0.2</v>
      </c>
      <c r="L16" s="10" t="s">
        <v>18</v>
      </c>
      <c r="M16" s="10" t="s">
        <v>4</v>
      </c>
      <c r="N16" s="10">
        <v>0</v>
      </c>
      <c r="O16" s="10"/>
    </row>
    <row r="17" spans="1:15" x14ac:dyDescent="0.25">
      <c r="A17" s="9" t="s">
        <v>65</v>
      </c>
      <c r="B17" s="15">
        <v>45265</v>
      </c>
      <c r="C17" s="9">
        <v>31</v>
      </c>
      <c r="D17" s="9" t="s">
        <v>17</v>
      </c>
      <c r="E17" s="16">
        <v>1873457</v>
      </c>
      <c r="F17" s="9">
        <v>471</v>
      </c>
      <c r="G17" s="16">
        <v>340416</v>
      </c>
      <c r="H17" s="17">
        <v>12</v>
      </c>
      <c r="I17" s="9">
        <v>36</v>
      </c>
      <c r="J17" s="9" t="s">
        <v>10</v>
      </c>
      <c r="K17" s="18">
        <v>0.13</v>
      </c>
      <c r="L17" s="9" t="s">
        <v>22</v>
      </c>
      <c r="M17" s="9" t="s">
        <v>5</v>
      </c>
      <c r="N17" s="9">
        <v>0</v>
      </c>
      <c r="O17" s="9"/>
    </row>
    <row r="18" spans="1:15" x14ac:dyDescent="0.25">
      <c r="A18" s="10" t="s">
        <v>66</v>
      </c>
      <c r="B18" s="11">
        <v>45980</v>
      </c>
      <c r="C18" s="10">
        <v>56</v>
      </c>
      <c r="D18" s="10" t="s">
        <v>16</v>
      </c>
      <c r="E18" s="12">
        <v>456283</v>
      </c>
      <c r="F18" s="10">
        <v>761</v>
      </c>
      <c r="G18" s="12">
        <v>1450418</v>
      </c>
      <c r="H18" s="13">
        <v>17</v>
      </c>
      <c r="I18" s="10">
        <v>60</v>
      </c>
      <c r="J18" s="10" t="s">
        <v>11</v>
      </c>
      <c r="K18" s="14">
        <v>0.25</v>
      </c>
      <c r="L18" s="10" t="s">
        <v>22</v>
      </c>
      <c r="M18" s="10" t="s">
        <v>5</v>
      </c>
      <c r="N18" s="10">
        <v>0</v>
      </c>
      <c r="O18" s="10"/>
    </row>
    <row r="19" spans="1:15" x14ac:dyDescent="0.25">
      <c r="A19" s="9" t="s">
        <v>67</v>
      </c>
      <c r="B19" s="15">
        <v>45182</v>
      </c>
      <c r="C19" s="9">
        <v>39</v>
      </c>
      <c r="D19" s="9" t="s">
        <v>17</v>
      </c>
      <c r="E19" s="16">
        <v>477960</v>
      </c>
      <c r="F19" s="9">
        <v>353</v>
      </c>
      <c r="G19" s="16">
        <v>1996582</v>
      </c>
      <c r="H19" s="17">
        <v>10</v>
      </c>
      <c r="I19" s="9">
        <v>36</v>
      </c>
      <c r="J19" s="9" t="s">
        <v>9</v>
      </c>
      <c r="K19" s="18">
        <v>0.12</v>
      </c>
      <c r="L19" s="9" t="s">
        <v>20</v>
      </c>
      <c r="M19" s="9" t="s">
        <v>2</v>
      </c>
      <c r="N19" s="9">
        <v>1</v>
      </c>
      <c r="O19" s="9"/>
    </row>
    <row r="20" spans="1:15" x14ac:dyDescent="0.25">
      <c r="A20" s="10" t="s">
        <v>68</v>
      </c>
      <c r="B20" s="11">
        <v>44951</v>
      </c>
      <c r="C20" s="10">
        <v>27</v>
      </c>
      <c r="D20" s="10" t="s">
        <v>16</v>
      </c>
      <c r="E20" s="12">
        <v>1484839</v>
      </c>
      <c r="F20" s="10">
        <v>792</v>
      </c>
      <c r="G20" s="12">
        <v>1369952</v>
      </c>
      <c r="H20" s="13">
        <v>18</v>
      </c>
      <c r="I20" s="10">
        <v>36</v>
      </c>
      <c r="J20" s="10" t="s">
        <v>11</v>
      </c>
      <c r="K20" s="14">
        <v>0.47</v>
      </c>
      <c r="L20" s="10" t="s">
        <v>20</v>
      </c>
      <c r="M20" s="10" t="s">
        <v>4</v>
      </c>
      <c r="N20" s="10">
        <v>0</v>
      </c>
      <c r="O20" s="10"/>
    </row>
    <row r="21" spans="1:15" x14ac:dyDescent="0.25">
      <c r="A21" s="9" t="s">
        <v>69</v>
      </c>
      <c r="B21" s="15">
        <v>45750</v>
      </c>
      <c r="C21" s="9">
        <v>56</v>
      </c>
      <c r="D21" s="9" t="s">
        <v>16</v>
      </c>
      <c r="E21" s="16">
        <v>1878455</v>
      </c>
      <c r="F21" s="9">
        <v>553</v>
      </c>
      <c r="G21" s="16">
        <v>664554</v>
      </c>
      <c r="H21" s="17">
        <v>10</v>
      </c>
      <c r="I21" s="9">
        <v>36</v>
      </c>
      <c r="J21" s="9" t="s">
        <v>12</v>
      </c>
      <c r="K21" s="18">
        <v>0.52</v>
      </c>
      <c r="L21" s="9" t="s">
        <v>19</v>
      </c>
      <c r="M21" s="9" t="s">
        <v>4</v>
      </c>
      <c r="N21" s="9">
        <v>1</v>
      </c>
      <c r="O21" s="9"/>
    </row>
    <row r="22" spans="1:15" x14ac:dyDescent="0.25">
      <c r="A22" s="10" t="s">
        <v>70</v>
      </c>
      <c r="B22" s="11">
        <v>45526</v>
      </c>
      <c r="C22" s="10">
        <v>49</v>
      </c>
      <c r="D22" s="10" t="s">
        <v>16</v>
      </c>
      <c r="E22" s="12">
        <v>1491070</v>
      </c>
      <c r="F22" s="10">
        <v>792</v>
      </c>
      <c r="G22" s="12">
        <v>1157252</v>
      </c>
      <c r="H22" s="13">
        <v>12</v>
      </c>
      <c r="I22" s="10">
        <v>24</v>
      </c>
      <c r="J22" s="10" t="s">
        <v>11</v>
      </c>
      <c r="K22" s="14">
        <v>0.28999999999999998</v>
      </c>
      <c r="L22" s="10" t="s">
        <v>19</v>
      </c>
      <c r="M22" s="10" t="s">
        <v>3</v>
      </c>
      <c r="N22" s="10">
        <v>1</v>
      </c>
      <c r="O22" s="10"/>
    </row>
    <row r="23" spans="1:15" x14ac:dyDescent="0.25">
      <c r="A23" s="9" t="s">
        <v>71</v>
      </c>
      <c r="B23" s="15">
        <v>45341</v>
      </c>
      <c r="C23" s="9">
        <v>48</v>
      </c>
      <c r="D23" s="9" t="s">
        <v>17</v>
      </c>
      <c r="E23" s="16">
        <v>2065103</v>
      </c>
      <c r="F23" s="9">
        <v>323</v>
      </c>
      <c r="G23" s="16">
        <v>218127</v>
      </c>
      <c r="H23" s="17">
        <v>18</v>
      </c>
      <c r="I23" s="9">
        <v>36</v>
      </c>
      <c r="J23" s="9" t="s">
        <v>10</v>
      </c>
      <c r="K23" s="18">
        <v>0.38</v>
      </c>
      <c r="L23" s="9" t="s">
        <v>19</v>
      </c>
      <c r="M23" s="9" t="s">
        <v>2</v>
      </c>
      <c r="N23" s="9">
        <v>1</v>
      </c>
      <c r="O23" s="9"/>
    </row>
    <row r="24" spans="1:15" x14ac:dyDescent="0.25">
      <c r="A24" s="10" t="s">
        <v>72</v>
      </c>
      <c r="B24" s="11">
        <v>45527</v>
      </c>
      <c r="C24" s="10">
        <v>44</v>
      </c>
      <c r="D24" s="10" t="s">
        <v>16</v>
      </c>
      <c r="E24" s="12">
        <v>364911</v>
      </c>
      <c r="F24" s="10">
        <v>577</v>
      </c>
      <c r="G24" s="12">
        <v>1011217</v>
      </c>
      <c r="H24" s="13">
        <v>12</v>
      </c>
      <c r="I24" s="10">
        <v>36</v>
      </c>
      <c r="J24" s="10" t="s">
        <v>9</v>
      </c>
      <c r="K24" s="14">
        <v>0.28000000000000003</v>
      </c>
      <c r="L24" s="10" t="s">
        <v>22</v>
      </c>
      <c r="M24" s="10" t="s">
        <v>2</v>
      </c>
      <c r="N24" s="10">
        <v>0</v>
      </c>
      <c r="O24" s="10"/>
    </row>
    <row r="25" spans="1:15" x14ac:dyDescent="0.25">
      <c r="A25" s="9" t="s">
        <v>73</v>
      </c>
      <c r="B25" s="15">
        <v>45259</v>
      </c>
      <c r="C25" s="9">
        <v>25</v>
      </c>
      <c r="D25" s="9" t="s">
        <v>16</v>
      </c>
      <c r="E25" s="16">
        <v>2258909</v>
      </c>
      <c r="F25" s="9">
        <v>559</v>
      </c>
      <c r="G25" s="16">
        <v>324813</v>
      </c>
      <c r="H25" s="17">
        <v>14</v>
      </c>
      <c r="I25" s="9">
        <v>12</v>
      </c>
      <c r="J25" s="9" t="s">
        <v>12</v>
      </c>
      <c r="K25" s="18">
        <v>0.4</v>
      </c>
      <c r="L25" s="9" t="s">
        <v>22</v>
      </c>
      <c r="M25" s="9" t="s">
        <v>5</v>
      </c>
      <c r="N25" s="9">
        <v>0</v>
      </c>
      <c r="O25" s="9"/>
    </row>
    <row r="26" spans="1:15" x14ac:dyDescent="0.25">
      <c r="A26" s="10" t="s">
        <v>74</v>
      </c>
      <c r="B26" s="11">
        <v>45692</v>
      </c>
      <c r="C26" s="10">
        <v>56</v>
      </c>
      <c r="D26" s="10" t="s">
        <v>9</v>
      </c>
      <c r="E26" s="12">
        <v>1361208</v>
      </c>
      <c r="F26" s="10">
        <v>349</v>
      </c>
      <c r="G26" s="12">
        <v>161238</v>
      </c>
      <c r="H26" s="13">
        <v>13</v>
      </c>
      <c r="I26" s="10">
        <v>24</v>
      </c>
      <c r="J26" s="10" t="s">
        <v>10</v>
      </c>
      <c r="K26" s="14">
        <v>0.48</v>
      </c>
      <c r="L26" s="10" t="s">
        <v>22</v>
      </c>
      <c r="M26" s="10" t="s">
        <v>3</v>
      </c>
      <c r="N26" s="10">
        <v>1</v>
      </c>
      <c r="O26" s="10"/>
    </row>
    <row r="27" spans="1:15" x14ac:dyDescent="0.25">
      <c r="A27" s="9" t="s">
        <v>75</v>
      </c>
      <c r="B27" s="15">
        <v>45893</v>
      </c>
      <c r="C27" s="9">
        <v>47</v>
      </c>
      <c r="D27" s="9" t="s">
        <v>16</v>
      </c>
      <c r="E27" s="16">
        <v>1116062</v>
      </c>
      <c r="F27" s="9">
        <v>753</v>
      </c>
      <c r="G27" s="16">
        <v>1962476</v>
      </c>
      <c r="H27" s="17">
        <v>21</v>
      </c>
      <c r="I27" s="9">
        <v>12</v>
      </c>
      <c r="J27" s="9" t="s">
        <v>11</v>
      </c>
      <c r="K27" s="18">
        <v>0.24</v>
      </c>
      <c r="L27" s="9" t="s">
        <v>20</v>
      </c>
      <c r="M27" s="9" t="s">
        <v>5</v>
      </c>
      <c r="N27" s="9">
        <v>0</v>
      </c>
      <c r="O27" s="9"/>
    </row>
    <row r="28" spans="1:15" x14ac:dyDescent="0.25">
      <c r="A28" s="10" t="s">
        <v>76</v>
      </c>
      <c r="B28" s="11">
        <v>45354</v>
      </c>
      <c r="C28" s="10">
        <v>51</v>
      </c>
      <c r="D28" s="10" t="s">
        <v>16</v>
      </c>
      <c r="E28" s="12">
        <v>253723</v>
      </c>
      <c r="F28" s="10">
        <v>729</v>
      </c>
      <c r="G28" s="12">
        <v>1239008</v>
      </c>
      <c r="H28" s="13">
        <v>6</v>
      </c>
      <c r="I28" s="10">
        <v>24</v>
      </c>
      <c r="J28" s="10" t="s">
        <v>9</v>
      </c>
      <c r="K28" s="14">
        <v>0.6</v>
      </c>
      <c r="L28" s="10" t="s">
        <v>21</v>
      </c>
      <c r="M28" s="10" t="s">
        <v>3</v>
      </c>
      <c r="N28" s="10">
        <v>0</v>
      </c>
      <c r="O28" s="10"/>
    </row>
    <row r="29" spans="1:15" x14ac:dyDescent="0.25">
      <c r="A29" s="9" t="s">
        <v>77</v>
      </c>
      <c r="B29" s="15">
        <v>45684</v>
      </c>
      <c r="C29" s="9">
        <v>50</v>
      </c>
      <c r="D29" s="9" t="s">
        <v>17</v>
      </c>
      <c r="E29" s="16">
        <v>326097</v>
      </c>
      <c r="F29" s="9">
        <v>522</v>
      </c>
      <c r="G29" s="16">
        <v>1438589</v>
      </c>
      <c r="H29" s="17">
        <v>23</v>
      </c>
      <c r="I29" s="9">
        <v>60</v>
      </c>
      <c r="J29" s="9" t="s">
        <v>9</v>
      </c>
      <c r="K29" s="18">
        <v>0.43</v>
      </c>
      <c r="L29" s="9" t="s">
        <v>19</v>
      </c>
      <c r="M29" s="9" t="s">
        <v>4</v>
      </c>
      <c r="N29" s="9">
        <v>0</v>
      </c>
      <c r="O29" s="9"/>
    </row>
    <row r="30" spans="1:15" x14ac:dyDescent="0.25">
      <c r="A30" s="10" t="s">
        <v>78</v>
      </c>
      <c r="B30" s="11">
        <v>45026</v>
      </c>
      <c r="C30" s="10">
        <v>50</v>
      </c>
      <c r="D30" s="10" t="s">
        <v>9</v>
      </c>
      <c r="E30" s="12">
        <v>1220643</v>
      </c>
      <c r="F30" s="10">
        <v>772</v>
      </c>
      <c r="G30" s="12">
        <v>1842554</v>
      </c>
      <c r="H30" s="13">
        <v>17</v>
      </c>
      <c r="I30" s="10">
        <v>12</v>
      </c>
      <c r="J30" s="10" t="s">
        <v>12</v>
      </c>
      <c r="K30" s="14">
        <v>0.18</v>
      </c>
      <c r="L30" s="10" t="s">
        <v>21</v>
      </c>
      <c r="M30" s="10" t="s">
        <v>2</v>
      </c>
      <c r="N30" s="10">
        <v>0</v>
      </c>
      <c r="O30" s="10"/>
    </row>
    <row r="31" spans="1:15" x14ac:dyDescent="0.25">
      <c r="A31" s="9" t="s">
        <v>79</v>
      </c>
      <c r="B31" s="15">
        <v>45770</v>
      </c>
      <c r="C31" s="9">
        <v>28</v>
      </c>
      <c r="D31" s="9" t="s">
        <v>9</v>
      </c>
      <c r="E31" s="16">
        <v>1206971</v>
      </c>
      <c r="F31" s="9">
        <v>409</v>
      </c>
      <c r="G31" s="16">
        <v>1507135</v>
      </c>
      <c r="H31" s="17">
        <v>18</v>
      </c>
      <c r="I31" s="9">
        <v>60</v>
      </c>
      <c r="J31" s="9" t="s">
        <v>10</v>
      </c>
      <c r="K31" s="18">
        <v>0.46</v>
      </c>
      <c r="L31" s="9" t="s">
        <v>20</v>
      </c>
      <c r="M31" s="9" t="s">
        <v>4</v>
      </c>
      <c r="N31" s="9">
        <v>1</v>
      </c>
      <c r="O31" s="9"/>
    </row>
    <row r="32" spans="1:15" x14ac:dyDescent="0.25">
      <c r="A32" s="10" t="s">
        <v>80</v>
      </c>
      <c r="B32" s="11">
        <v>45432</v>
      </c>
      <c r="C32" s="10">
        <v>30</v>
      </c>
      <c r="D32" s="10" t="s">
        <v>17</v>
      </c>
      <c r="E32" s="12">
        <v>1491836</v>
      </c>
      <c r="F32" s="10">
        <v>622</v>
      </c>
      <c r="G32" s="12">
        <v>1909520</v>
      </c>
      <c r="H32" s="13">
        <v>24</v>
      </c>
      <c r="I32" s="10">
        <v>60</v>
      </c>
      <c r="J32" s="10" t="s">
        <v>12</v>
      </c>
      <c r="K32" s="14">
        <v>0.24</v>
      </c>
      <c r="L32" s="10" t="s">
        <v>20</v>
      </c>
      <c r="M32" s="10" t="s">
        <v>3</v>
      </c>
      <c r="N32" s="10">
        <v>0</v>
      </c>
      <c r="O32" s="10"/>
    </row>
    <row r="33" spans="1:15" x14ac:dyDescent="0.25">
      <c r="A33" s="9" t="s">
        <v>81</v>
      </c>
      <c r="B33" s="15">
        <v>45583</v>
      </c>
      <c r="C33" s="9">
        <v>50</v>
      </c>
      <c r="D33" s="9" t="s">
        <v>9</v>
      </c>
      <c r="E33" s="16">
        <v>1032689</v>
      </c>
      <c r="F33" s="9">
        <v>610</v>
      </c>
      <c r="G33" s="16">
        <v>736636</v>
      </c>
      <c r="H33" s="17">
        <v>12</v>
      </c>
      <c r="I33" s="9">
        <v>24</v>
      </c>
      <c r="J33" s="9" t="s">
        <v>14</v>
      </c>
      <c r="K33" s="18">
        <v>0.6</v>
      </c>
      <c r="L33" s="9" t="s">
        <v>22</v>
      </c>
      <c r="M33" s="9" t="s">
        <v>4</v>
      </c>
      <c r="N33" s="9">
        <v>0</v>
      </c>
      <c r="O33" s="9"/>
    </row>
    <row r="34" spans="1:15" x14ac:dyDescent="0.25">
      <c r="A34" s="10" t="s">
        <v>82</v>
      </c>
      <c r="B34" s="11">
        <v>45271</v>
      </c>
      <c r="C34" s="10">
        <v>47</v>
      </c>
      <c r="D34" s="10" t="s">
        <v>9</v>
      </c>
      <c r="E34" s="12">
        <v>1336181</v>
      </c>
      <c r="F34" s="10">
        <v>416</v>
      </c>
      <c r="G34" s="12">
        <v>90382</v>
      </c>
      <c r="H34" s="13">
        <v>18</v>
      </c>
      <c r="I34" s="10">
        <v>24</v>
      </c>
      <c r="J34" s="10" t="s">
        <v>11</v>
      </c>
      <c r="K34" s="14">
        <v>0.24</v>
      </c>
      <c r="L34" s="10" t="s">
        <v>21</v>
      </c>
      <c r="M34" s="10" t="s">
        <v>5</v>
      </c>
      <c r="N34" s="10">
        <v>0</v>
      </c>
      <c r="O34" s="10"/>
    </row>
    <row r="35" spans="1:15" x14ac:dyDescent="0.25">
      <c r="A35" s="9" t="s">
        <v>83</v>
      </c>
      <c r="B35" s="15">
        <v>45166</v>
      </c>
      <c r="C35" s="9">
        <v>41</v>
      </c>
      <c r="D35" s="9" t="s">
        <v>16</v>
      </c>
      <c r="E35" s="16">
        <v>1316587</v>
      </c>
      <c r="F35" s="9">
        <v>477</v>
      </c>
      <c r="G35" s="16">
        <v>1415483</v>
      </c>
      <c r="H35" s="17">
        <v>23</v>
      </c>
      <c r="I35" s="9">
        <v>12</v>
      </c>
      <c r="J35" s="9" t="s">
        <v>10</v>
      </c>
      <c r="K35" s="18">
        <v>0.19</v>
      </c>
      <c r="L35" s="9" t="s">
        <v>21</v>
      </c>
      <c r="M35" s="9" t="s">
        <v>3</v>
      </c>
      <c r="N35" s="9">
        <v>0</v>
      </c>
      <c r="O35" s="9"/>
    </row>
    <row r="36" spans="1:15" x14ac:dyDescent="0.25">
      <c r="A36" s="10" t="s">
        <v>84</v>
      </c>
      <c r="B36" s="11">
        <v>45352</v>
      </c>
      <c r="C36" s="10">
        <v>49</v>
      </c>
      <c r="D36" s="10" t="s">
        <v>16</v>
      </c>
      <c r="E36" s="12">
        <v>1760749</v>
      </c>
      <c r="F36" s="10">
        <v>507</v>
      </c>
      <c r="G36" s="12">
        <v>1274605</v>
      </c>
      <c r="H36" s="13">
        <v>16</v>
      </c>
      <c r="I36" s="10">
        <v>60</v>
      </c>
      <c r="J36" s="10" t="s">
        <v>13</v>
      </c>
      <c r="K36" s="14">
        <v>0.51</v>
      </c>
      <c r="L36" s="10" t="s">
        <v>21</v>
      </c>
      <c r="M36" s="10" t="s">
        <v>5</v>
      </c>
      <c r="N36" s="10">
        <v>1</v>
      </c>
      <c r="O36" s="10"/>
    </row>
    <row r="37" spans="1:15" x14ac:dyDescent="0.25">
      <c r="A37" s="9" t="s">
        <v>85</v>
      </c>
      <c r="B37" s="15">
        <v>45151</v>
      </c>
      <c r="C37" s="9">
        <v>52</v>
      </c>
      <c r="D37" s="9" t="s">
        <v>16</v>
      </c>
      <c r="E37" s="16">
        <v>493840</v>
      </c>
      <c r="F37" s="9">
        <v>713</v>
      </c>
      <c r="G37" s="16">
        <v>1427495</v>
      </c>
      <c r="H37" s="17">
        <v>16</v>
      </c>
      <c r="I37" s="9">
        <v>60</v>
      </c>
      <c r="J37" s="9" t="s">
        <v>9</v>
      </c>
      <c r="K37" s="18">
        <v>0.21</v>
      </c>
      <c r="L37" s="9" t="s">
        <v>22</v>
      </c>
      <c r="M37" s="9" t="s">
        <v>2</v>
      </c>
      <c r="N37" s="9">
        <v>0</v>
      </c>
      <c r="O37" s="9"/>
    </row>
    <row r="38" spans="1:15" x14ac:dyDescent="0.25">
      <c r="A38" s="10" t="s">
        <v>86</v>
      </c>
      <c r="B38" s="11">
        <v>45869</v>
      </c>
      <c r="C38" s="10">
        <v>64</v>
      </c>
      <c r="D38" s="10" t="s">
        <v>17</v>
      </c>
      <c r="E38" s="12">
        <v>1763996</v>
      </c>
      <c r="F38" s="10">
        <v>801</v>
      </c>
      <c r="G38" s="12">
        <v>1160778</v>
      </c>
      <c r="H38" s="13">
        <v>18</v>
      </c>
      <c r="I38" s="10">
        <v>60</v>
      </c>
      <c r="J38" s="10" t="s">
        <v>12</v>
      </c>
      <c r="K38" s="14">
        <v>0.36</v>
      </c>
      <c r="L38" s="10" t="s">
        <v>22</v>
      </c>
      <c r="M38" s="10" t="s">
        <v>5</v>
      </c>
      <c r="N38" s="10">
        <v>0</v>
      </c>
      <c r="O38" s="10"/>
    </row>
    <row r="39" spans="1:15" x14ac:dyDescent="0.25">
      <c r="A39" s="9" t="s">
        <v>87</v>
      </c>
      <c r="B39" s="15">
        <v>45473</v>
      </c>
      <c r="C39" s="9">
        <v>43</v>
      </c>
      <c r="D39" s="9" t="s">
        <v>9</v>
      </c>
      <c r="E39" s="16">
        <v>260952</v>
      </c>
      <c r="F39" s="9">
        <v>558</v>
      </c>
      <c r="G39" s="16">
        <v>788392</v>
      </c>
      <c r="H39" s="17">
        <v>20</v>
      </c>
      <c r="I39" s="9">
        <v>60</v>
      </c>
      <c r="J39" s="9" t="s">
        <v>13</v>
      </c>
      <c r="K39" s="18">
        <v>0.46</v>
      </c>
      <c r="L39" s="9" t="s">
        <v>21</v>
      </c>
      <c r="M39" s="9" t="s">
        <v>5</v>
      </c>
      <c r="N39" s="9">
        <v>1</v>
      </c>
      <c r="O39" s="9"/>
    </row>
    <row r="40" spans="1:15" x14ac:dyDescent="0.25">
      <c r="A40" s="10" t="s">
        <v>88</v>
      </c>
      <c r="B40" s="11">
        <v>45241</v>
      </c>
      <c r="C40" s="10">
        <v>61</v>
      </c>
      <c r="D40" s="10" t="s">
        <v>9</v>
      </c>
      <c r="E40" s="12">
        <v>481375</v>
      </c>
      <c r="F40" s="10">
        <v>448</v>
      </c>
      <c r="G40" s="12">
        <v>1834042</v>
      </c>
      <c r="H40" s="13">
        <v>21</v>
      </c>
      <c r="I40" s="10">
        <v>24</v>
      </c>
      <c r="J40" s="10" t="s">
        <v>12</v>
      </c>
      <c r="K40" s="14">
        <v>0.31</v>
      </c>
      <c r="L40" s="10" t="s">
        <v>21</v>
      </c>
      <c r="M40" s="10" t="s">
        <v>2</v>
      </c>
      <c r="N40" s="10">
        <v>0</v>
      </c>
      <c r="O40" s="10"/>
    </row>
    <row r="41" spans="1:15" x14ac:dyDescent="0.25">
      <c r="A41" s="9" t="s">
        <v>89</v>
      </c>
      <c r="B41" s="15">
        <v>46005</v>
      </c>
      <c r="C41" s="9">
        <v>62</v>
      </c>
      <c r="D41" s="9" t="s">
        <v>9</v>
      </c>
      <c r="E41" s="16">
        <v>1976376</v>
      </c>
      <c r="F41" s="9">
        <v>524</v>
      </c>
      <c r="G41" s="16">
        <v>1726251</v>
      </c>
      <c r="H41" s="17">
        <v>14</v>
      </c>
      <c r="I41" s="9">
        <v>12</v>
      </c>
      <c r="J41" s="9" t="s">
        <v>14</v>
      </c>
      <c r="K41" s="18">
        <v>0.28999999999999998</v>
      </c>
      <c r="L41" s="9" t="s">
        <v>22</v>
      </c>
      <c r="M41" s="9" t="s">
        <v>5</v>
      </c>
      <c r="N41" s="9">
        <v>0</v>
      </c>
      <c r="O41" s="9"/>
    </row>
    <row r="42" spans="1:15" x14ac:dyDescent="0.25">
      <c r="A42" s="10" t="s">
        <v>90</v>
      </c>
      <c r="B42" s="11">
        <v>45630</v>
      </c>
      <c r="C42" s="10">
        <v>64</v>
      </c>
      <c r="D42" s="10" t="s">
        <v>9</v>
      </c>
      <c r="E42" s="12">
        <v>1400119</v>
      </c>
      <c r="F42" s="10">
        <v>460</v>
      </c>
      <c r="G42" s="12">
        <v>1045880</v>
      </c>
      <c r="H42" s="13">
        <v>24</v>
      </c>
      <c r="I42" s="10">
        <v>12</v>
      </c>
      <c r="J42" s="10" t="s">
        <v>13</v>
      </c>
      <c r="K42" s="14">
        <v>0.49</v>
      </c>
      <c r="L42" s="10" t="s">
        <v>21</v>
      </c>
      <c r="M42" s="10" t="s">
        <v>3</v>
      </c>
      <c r="N42" s="10">
        <v>1</v>
      </c>
      <c r="O42" s="10"/>
    </row>
    <row r="43" spans="1:15" x14ac:dyDescent="0.25">
      <c r="A43" s="9" t="s">
        <v>91</v>
      </c>
      <c r="B43" s="15">
        <v>45589</v>
      </c>
      <c r="C43" s="9">
        <v>39</v>
      </c>
      <c r="D43" s="9" t="s">
        <v>17</v>
      </c>
      <c r="E43" s="16">
        <v>656641</v>
      </c>
      <c r="F43" s="9">
        <v>604</v>
      </c>
      <c r="G43" s="16">
        <v>1643535</v>
      </c>
      <c r="H43" s="17">
        <v>20</v>
      </c>
      <c r="I43" s="9">
        <v>12</v>
      </c>
      <c r="J43" s="9" t="s">
        <v>9</v>
      </c>
      <c r="K43" s="18">
        <v>0.49</v>
      </c>
      <c r="L43" s="9" t="s">
        <v>22</v>
      </c>
      <c r="M43" s="9" t="s">
        <v>3</v>
      </c>
      <c r="N43" s="9">
        <v>1</v>
      </c>
      <c r="O43" s="9"/>
    </row>
    <row r="44" spans="1:15" x14ac:dyDescent="0.25">
      <c r="A44" s="10" t="s">
        <v>92</v>
      </c>
      <c r="B44" s="11">
        <v>45193</v>
      </c>
      <c r="C44" s="10">
        <v>43</v>
      </c>
      <c r="D44" s="10" t="s">
        <v>17</v>
      </c>
      <c r="E44" s="12">
        <v>969411</v>
      </c>
      <c r="F44" s="10">
        <v>765</v>
      </c>
      <c r="G44" s="12">
        <v>719191</v>
      </c>
      <c r="H44" s="13">
        <v>21</v>
      </c>
      <c r="I44" s="10">
        <v>12</v>
      </c>
      <c r="J44" s="10" t="s">
        <v>10</v>
      </c>
      <c r="K44" s="14">
        <v>0.4</v>
      </c>
      <c r="L44" s="10" t="s">
        <v>19</v>
      </c>
      <c r="M44" s="10" t="s">
        <v>4</v>
      </c>
      <c r="N44" s="10">
        <v>0</v>
      </c>
      <c r="O44" s="10"/>
    </row>
    <row r="45" spans="1:15" x14ac:dyDescent="0.25">
      <c r="A45" s="9" t="s">
        <v>93</v>
      </c>
      <c r="B45" s="15">
        <v>45695</v>
      </c>
      <c r="C45" s="9">
        <v>32</v>
      </c>
      <c r="D45" s="9" t="s">
        <v>16</v>
      </c>
      <c r="E45" s="16">
        <v>385232</v>
      </c>
      <c r="F45" s="9">
        <v>456</v>
      </c>
      <c r="G45" s="16">
        <v>1237080</v>
      </c>
      <c r="H45" s="17">
        <v>9</v>
      </c>
      <c r="I45" s="9">
        <v>60</v>
      </c>
      <c r="J45" s="9" t="s">
        <v>13</v>
      </c>
      <c r="K45" s="18">
        <v>0.31</v>
      </c>
      <c r="L45" s="9" t="s">
        <v>18</v>
      </c>
      <c r="M45" s="9" t="s">
        <v>3</v>
      </c>
      <c r="N45" s="9">
        <v>0</v>
      </c>
      <c r="O45" s="9"/>
    </row>
    <row r="46" spans="1:15" x14ac:dyDescent="0.25">
      <c r="A46" s="10" t="s">
        <v>94</v>
      </c>
      <c r="B46" s="11">
        <v>45856</v>
      </c>
      <c r="C46" s="10">
        <v>46</v>
      </c>
      <c r="D46" s="10" t="s">
        <v>9</v>
      </c>
      <c r="E46" s="12">
        <v>926982</v>
      </c>
      <c r="F46" s="10">
        <v>758</v>
      </c>
      <c r="G46" s="12">
        <v>159294</v>
      </c>
      <c r="H46" s="13">
        <v>21</v>
      </c>
      <c r="I46" s="10">
        <v>60</v>
      </c>
      <c r="J46" s="10" t="s">
        <v>9</v>
      </c>
      <c r="K46" s="14">
        <v>0.12</v>
      </c>
      <c r="L46" s="10" t="s">
        <v>21</v>
      </c>
      <c r="M46" s="10" t="s">
        <v>4</v>
      </c>
      <c r="N46" s="10">
        <v>1</v>
      </c>
      <c r="O46" s="10"/>
    </row>
    <row r="47" spans="1:15" x14ac:dyDescent="0.25">
      <c r="A47" s="9" t="s">
        <v>95</v>
      </c>
      <c r="B47" s="15">
        <v>45156</v>
      </c>
      <c r="C47" s="9">
        <v>59</v>
      </c>
      <c r="D47" s="9" t="s">
        <v>9</v>
      </c>
      <c r="E47" s="16">
        <v>2229019</v>
      </c>
      <c r="F47" s="9">
        <v>663</v>
      </c>
      <c r="G47" s="16">
        <v>52958</v>
      </c>
      <c r="H47" s="17">
        <v>21</v>
      </c>
      <c r="I47" s="9">
        <v>24</v>
      </c>
      <c r="J47" s="9" t="s">
        <v>12</v>
      </c>
      <c r="K47" s="18">
        <v>0.22</v>
      </c>
      <c r="L47" s="9" t="s">
        <v>18</v>
      </c>
      <c r="M47" s="9" t="s">
        <v>2</v>
      </c>
      <c r="N47" s="9">
        <v>0</v>
      </c>
      <c r="O47" s="9"/>
    </row>
    <row r="48" spans="1:15" x14ac:dyDescent="0.25">
      <c r="A48" s="10" t="s">
        <v>96</v>
      </c>
      <c r="B48" s="11">
        <v>45095</v>
      </c>
      <c r="C48" s="10">
        <v>56</v>
      </c>
      <c r="D48" s="10" t="s">
        <v>16</v>
      </c>
      <c r="E48" s="12">
        <v>1356645</v>
      </c>
      <c r="F48" s="10">
        <v>605</v>
      </c>
      <c r="G48" s="12">
        <v>139744</v>
      </c>
      <c r="H48" s="13">
        <v>23</v>
      </c>
      <c r="I48" s="10">
        <v>36</v>
      </c>
      <c r="J48" s="10" t="s">
        <v>10</v>
      </c>
      <c r="K48" s="14">
        <v>0.25</v>
      </c>
      <c r="L48" s="10" t="s">
        <v>20</v>
      </c>
      <c r="M48" s="10" t="s">
        <v>2</v>
      </c>
      <c r="N48" s="10">
        <v>0</v>
      </c>
      <c r="O48" s="10"/>
    </row>
    <row r="49" spans="1:15" x14ac:dyDescent="0.25">
      <c r="A49" s="9" t="s">
        <v>97</v>
      </c>
      <c r="B49" s="15">
        <v>45472</v>
      </c>
      <c r="C49" s="9">
        <v>29</v>
      </c>
      <c r="D49" s="9" t="s">
        <v>17</v>
      </c>
      <c r="E49" s="16">
        <v>2245099</v>
      </c>
      <c r="F49" s="9">
        <v>785</v>
      </c>
      <c r="G49" s="16">
        <v>1593062</v>
      </c>
      <c r="H49" s="17">
        <v>18</v>
      </c>
      <c r="I49" s="9">
        <v>24</v>
      </c>
      <c r="J49" s="9" t="s">
        <v>9</v>
      </c>
      <c r="K49" s="18">
        <v>0.28000000000000003</v>
      </c>
      <c r="L49" s="9" t="s">
        <v>21</v>
      </c>
      <c r="M49" s="9" t="s">
        <v>3</v>
      </c>
      <c r="N49" s="9">
        <v>0</v>
      </c>
      <c r="O49" s="9"/>
    </row>
    <row r="50" spans="1:15" x14ac:dyDescent="0.25">
      <c r="A50" s="10" t="s">
        <v>98</v>
      </c>
      <c r="B50" s="11">
        <v>45178</v>
      </c>
      <c r="C50" s="10">
        <v>30</v>
      </c>
      <c r="D50" s="10" t="s">
        <v>17</v>
      </c>
      <c r="E50" s="12">
        <v>1983798</v>
      </c>
      <c r="F50" s="10">
        <v>661</v>
      </c>
      <c r="G50" s="12">
        <v>1186485</v>
      </c>
      <c r="H50" s="13">
        <v>7</v>
      </c>
      <c r="I50" s="10">
        <v>60</v>
      </c>
      <c r="J50" s="10" t="s">
        <v>9</v>
      </c>
      <c r="K50" s="14">
        <v>0.14000000000000001</v>
      </c>
      <c r="L50" s="10" t="s">
        <v>20</v>
      </c>
      <c r="M50" s="10" t="s">
        <v>4</v>
      </c>
      <c r="N50" s="10">
        <v>0</v>
      </c>
      <c r="O50" s="10"/>
    </row>
    <row r="51" spans="1:15" x14ac:dyDescent="0.25">
      <c r="A51" s="9" t="s">
        <v>99</v>
      </c>
      <c r="B51" s="15">
        <v>45297</v>
      </c>
      <c r="C51" s="9">
        <v>59</v>
      </c>
      <c r="D51" s="9" t="s">
        <v>9</v>
      </c>
      <c r="E51" s="16">
        <v>670072</v>
      </c>
      <c r="F51" s="9">
        <v>390</v>
      </c>
      <c r="G51" s="16">
        <v>757190</v>
      </c>
      <c r="H51" s="17">
        <v>14</v>
      </c>
      <c r="I51" s="9">
        <v>36</v>
      </c>
      <c r="J51" s="9" t="s">
        <v>13</v>
      </c>
      <c r="K51" s="18">
        <v>0.43</v>
      </c>
      <c r="L51" s="9" t="s">
        <v>18</v>
      </c>
      <c r="M51" s="9" t="s">
        <v>3</v>
      </c>
      <c r="N51" s="9">
        <v>0</v>
      </c>
      <c r="O51" s="9"/>
    </row>
    <row r="52" spans="1:15" x14ac:dyDescent="0.25">
      <c r="A52" s="10" t="s">
        <v>100</v>
      </c>
      <c r="B52" s="11">
        <v>44972</v>
      </c>
      <c r="C52" s="10">
        <v>59</v>
      </c>
      <c r="D52" s="10" t="s">
        <v>17</v>
      </c>
      <c r="E52" s="12">
        <v>1989300</v>
      </c>
      <c r="F52" s="10">
        <v>441</v>
      </c>
      <c r="G52" s="12">
        <v>1980222</v>
      </c>
      <c r="H52" s="13">
        <v>11</v>
      </c>
      <c r="I52" s="10">
        <v>24</v>
      </c>
      <c r="J52" s="10" t="s">
        <v>11</v>
      </c>
      <c r="K52" s="14">
        <v>0.18</v>
      </c>
      <c r="L52" s="10" t="s">
        <v>22</v>
      </c>
      <c r="M52" s="10" t="s">
        <v>5</v>
      </c>
      <c r="N52" s="10">
        <v>1</v>
      </c>
      <c r="O52" s="10"/>
    </row>
    <row r="53" spans="1:15" x14ac:dyDescent="0.25">
      <c r="A53" s="9" t="s">
        <v>101</v>
      </c>
      <c r="B53" s="15">
        <v>45865</v>
      </c>
      <c r="C53" s="9">
        <v>30</v>
      </c>
      <c r="D53" s="9" t="s">
        <v>17</v>
      </c>
      <c r="E53" s="16">
        <v>1245221</v>
      </c>
      <c r="F53" s="9">
        <v>556</v>
      </c>
      <c r="G53" s="16">
        <v>430296</v>
      </c>
      <c r="H53" s="17">
        <v>22</v>
      </c>
      <c r="I53" s="9">
        <v>60</v>
      </c>
      <c r="J53" s="9" t="s">
        <v>10</v>
      </c>
      <c r="K53" s="18">
        <v>0.48</v>
      </c>
      <c r="L53" s="9" t="s">
        <v>20</v>
      </c>
      <c r="M53" s="9" t="s">
        <v>4</v>
      </c>
      <c r="N53" s="9">
        <v>1</v>
      </c>
      <c r="O53" s="9"/>
    </row>
    <row r="54" spans="1:15" x14ac:dyDescent="0.25">
      <c r="A54" s="10" t="s">
        <v>102</v>
      </c>
      <c r="B54" s="11">
        <v>45207</v>
      </c>
      <c r="C54" s="10">
        <v>51</v>
      </c>
      <c r="D54" s="10" t="s">
        <v>16</v>
      </c>
      <c r="E54" s="12">
        <v>2302674</v>
      </c>
      <c r="F54" s="10">
        <v>397</v>
      </c>
      <c r="G54" s="12">
        <v>472542</v>
      </c>
      <c r="H54" s="13">
        <v>14</v>
      </c>
      <c r="I54" s="10">
        <v>36</v>
      </c>
      <c r="J54" s="10" t="s">
        <v>14</v>
      </c>
      <c r="K54" s="14">
        <v>0.45</v>
      </c>
      <c r="L54" s="10" t="s">
        <v>20</v>
      </c>
      <c r="M54" s="10" t="s">
        <v>2</v>
      </c>
      <c r="N54" s="10">
        <v>0</v>
      </c>
      <c r="O54" s="10"/>
    </row>
    <row r="55" spans="1:15" x14ac:dyDescent="0.25">
      <c r="A55" s="9" t="s">
        <v>103</v>
      </c>
      <c r="B55" s="15">
        <v>45812</v>
      </c>
      <c r="C55" s="9">
        <v>49</v>
      </c>
      <c r="D55" s="9" t="s">
        <v>16</v>
      </c>
      <c r="E55" s="16">
        <v>399718</v>
      </c>
      <c r="F55" s="9">
        <v>328</v>
      </c>
      <c r="G55" s="16">
        <v>1622272</v>
      </c>
      <c r="H55" s="17">
        <v>21</v>
      </c>
      <c r="I55" s="9">
        <v>36</v>
      </c>
      <c r="J55" s="9" t="s">
        <v>9</v>
      </c>
      <c r="K55" s="18">
        <v>0.56999999999999995</v>
      </c>
      <c r="L55" s="9" t="s">
        <v>18</v>
      </c>
      <c r="M55" s="9" t="s">
        <v>3</v>
      </c>
      <c r="N55" s="9">
        <v>1</v>
      </c>
      <c r="O55" s="9"/>
    </row>
    <row r="56" spans="1:15" x14ac:dyDescent="0.25">
      <c r="A56" s="10" t="s">
        <v>104</v>
      </c>
      <c r="B56" s="11">
        <v>45421</v>
      </c>
      <c r="C56" s="10">
        <v>31</v>
      </c>
      <c r="D56" s="10" t="s">
        <v>9</v>
      </c>
      <c r="E56" s="12">
        <v>1914894</v>
      </c>
      <c r="F56" s="10">
        <v>508</v>
      </c>
      <c r="G56" s="12">
        <v>1796632</v>
      </c>
      <c r="H56" s="13">
        <v>16</v>
      </c>
      <c r="I56" s="10">
        <v>36</v>
      </c>
      <c r="J56" s="10" t="s">
        <v>9</v>
      </c>
      <c r="K56" s="14">
        <v>0.28000000000000003</v>
      </c>
      <c r="L56" s="10" t="s">
        <v>21</v>
      </c>
      <c r="M56" s="10" t="s">
        <v>3</v>
      </c>
      <c r="N56" s="10">
        <v>0</v>
      </c>
      <c r="O56" s="10"/>
    </row>
    <row r="57" spans="1:15" x14ac:dyDescent="0.25">
      <c r="A57" s="9" t="s">
        <v>105</v>
      </c>
      <c r="B57" s="15">
        <v>45576</v>
      </c>
      <c r="C57" s="9">
        <v>44</v>
      </c>
      <c r="D57" s="9" t="s">
        <v>9</v>
      </c>
      <c r="E57" s="16">
        <v>493790</v>
      </c>
      <c r="F57" s="9">
        <v>494</v>
      </c>
      <c r="G57" s="16">
        <v>401426</v>
      </c>
      <c r="H57" s="17">
        <v>24</v>
      </c>
      <c r="I57" s="9">
        <v>36</v>
      </c>
      <c r="J57" s="9" t="s">
        <v>11</v>
      </c>
      <c r="K57" s="18">
        <v>0.36</v>
      </c>
      <c r="L57" s="9" t="s">
        <v>19</v>
      </c>
      <c r="M57" s="9" t="s">
        <v>3</v>
      </c>
      <c r="N57" s="9">
        <v>0</v>
      </c>
      <c r="O57" s="9"/>
    </row>
    <row r="58" spans="1:15" x14ac:dyDescent="0.25">
      <c r="A58" s="10" t="s">
        <v>106</v>
      </c>
      <c r="B58" s="11">
        <v>45465</v>
      </c>
      <c r="C58" s="10">
        <v>59</v>
      </c>
      <c r="D58" s="10" t="s">
        <v>9</v>
      </c>
      <c r="E58" s="12">
        <v>976606</v>
      </c>
      <c r="F58" s="10">
        <v>360</v>
      </c>
      <c r="G58" s="12">
        <v>525007</v>
      </c>
      <c r="H58" s="13">
        <v>10</v>
      </c>
      <c r="I58" s="10">
        <v>12</v>
      </c>
      <c r="J58" s="10" t="s">
        <v>12</v>
      </c>
      <c r="K58" s="14">
        <v>0.34</v>
      </c>
      <c r="L58" s="10" t="s">
        <v>20</v>
      </c>
      <c r="M58" s="10" t="s">
        <v>5</v>
      </c>
      <c r="N58" s="10">
        <v>0</v>
      </c>
      <c r="O58" s="10"/>
    </row>
    <row r="59" spans="1:15" x14ac:dyDescent="0.25">
      <c r="A59" s="9" t="s">
        <v>107</v>
      </c>
      <c r="B59" s="15">
        <v>44936</v>
      </c>
      <c r="C59" s="9">
        <v>41</v>
      </c>
      <c r="D59" s="9" t="s">
        <v>17</v>
      </c>
      <c r="E59" s="16">
        <v>1880167</v>
      </c>
      <c r="F59" s="9">
        <v>311</v>
      </c>
      <c r="G59" s="16">
        <v>1964154</v>
      </c>
      <c r="H59" s="17">
        <v>19</v>
      </c>
      <c r="I59" s="9">
        <v>12</v>
      </c>
      <c r="J59" s="9" t="s">
        <v>12</v>
      </c>
      <c r="K59" s="18">
        <v>0.46</v>
      </c>
      <c r="L59" s="9" t="s">
        <v>19</v>
      </c>
      <c r="M59" s="9" t="s">
        <v>5</v>
      </c>
      <c r="N59" s="9">
        <v>1</v>
      </c>
      <c r="O59" s="9"/>
    </row>
    <row r="60" spans="1:15" x14ac:dyDescent="0.25">
      <c r="A60" s="10" t="s">
        <v>108</v>
      </c>
      <c r="B60" s="11">
        <v>44961</v>
      </c>
      <c r="C60" s="10">
        <v>51</v>
      </c>
      <c r="D60" s="10" t="s">
        <v>9</v>
      </c>
      <c r="E60" s="12">
        <v>1770190</v>
      </c>
      <c r="F60" s="10">
        <v>522</v>
      </c>
      <c r="G60" s="12">
        <v>248192</v>
      </c>
      <c r="H60" s="13">
        <v>17</v>
      </c>
      <c r="I60" s="10">
        <v>12</v>
      </c>
      <c r="J60" s="10" t="s">
        <v>12</v>
      </c>
      <c r="K60" s="14">
        <v>0.43</v>
      </c>
      <c r="L60" s="10" t="s">
        <v>22</v>
      </c>
      <c r="M60" s="10" t="s">
        <v>5</v>
      </c>
      <c r="N60" s="10">
        <v>0</v>
      </c>
      <c r="O60" s="10"/>
    </row>
    <row r="61" spans="1:15" x14ac:dyDescent="0.25">
      <c r="A61" s="9" t="s">
        <v>109</v>
      </c>
      <c r="B61" s="15">
        <v>45450</v>
      </c>
      <c r="C61" s="9">
        <v>40</v>
      </c>
      <c r="D61" s="9" t="s">
        <v>9</v>
      </c>
      <c r="E61" s="16">
        <v>1378694</v>
      </c>
      <c r="F61" s="9">
        <v>545</v>
      </c>
      <c r="G61" s="16">
        <v>153283</v>
      </c>
      <c r="H61" s="17">
        <v>22</v>
      </c>
      <c r="I61" s="9">
        <v>24</v>
      </c>
      <c r="J61" s="9" t="s">
        <v>13</v>
      </c>
      <c r="K61" s="18">
        <v>0.17</v>
      </c>
      <c r="L61" s="9" t="s">
        <v>19</v>
      </c>
      <c r="M61" s="9" t="s">
        <v>3</v>
      </c>
      <c r="N61" s="9">
        <v>0</v>
      </c>
      <c r="O61" s="9"/>
    </row>
    <row r="62" spans="1:15" x14ac:dyDescent="0.25">
      <c r="A62" s="10" t="s">
        <v>110</v>
      </c>
      <c r="B62" s="11">
        <v>45990</v>
      </c>
      <c r="C62" s="10">
        <v>51</v>
      </c>
      <c r="D62" s="10" t="s">
        <v>16</v>
      </c>
      <c r="E62" s="12">
        <v>2020665</v>
      </c>
      <c r="F62" s="10">
        <v>358</v>
      </c>
      <c r="G62" s="12">
        <v>1009337</v>
      </c>
      <c r="H62" s="13">
        <v>16</v>
      </c>
      <c r="I62" s="10">
        <v>60</v>
      </c>
      <c r="J62" s="10" t="s">
        <v>9</v>
      </c>
      <c r="K62" s="14">
        <v>0.21</v>
      </c>
      <c r="L62" s="10" t="s">
        <v>19</v>
      </c>
      <c r="M62" s="10" t="s">
        <v>2</v>
      </c>
      <c r="N62" s="10">
        <v>0</v>
      </c>
      <c r="O62" s="10"/>
    </row>
    <row r="63" spans="1:15" x14ac:dyDescent="0.25">
      <c r="A63" s="9" t="s">
        <v>111</v>
      </c>
      <c r="B63" s="15">
        <v>46002</v>
      </c>
      <c r="C63" s="9">
        <v>26</v>
      </c>
      <c r="D63" s="9" t="s">
        <v>16</v>
      </c>
      <c r="E63" s="16">
        <v>1505240</v>
      </c>
      <c r="F63" s="9">
        <v>334</v>
      </c>
      <c r="G63" s="16">
        <v>154990</v>
      </c>
      <c r="H63" s="17">
        <v>18</v>
      </c>
      <c r="I63" s="9">
        <v>36</v>
      </c>
      <c r="J63" s="9" t="s">
        <v>14</v>
      </c>
      <c r="K63" s="18">
        <v>0.43</v>
      </c>
      <c r="L63" s="9" t="s">
        <v>18</v>
      </c>
      <c r="M63" s="9" t="s">
        <v>2</v>
      </c>
      <c r="N63" s="9">
        <v>0</v>
      </c>
      <c r="O63" s="9"/>
    </row>
    <row r="64" spans="1:15" x14ac:dyDescent="0.25">
      <c r="A64" s="10" t="s">
        <v>112</v>
      </c>
      <c r="B64" s="11">
        <v>45187</v>
      </c>
      <c r="C64" s="10">
        <v>21</v>
      </c>
      <c r="D64" s="10" t="s">
        <v>9</v>
      </c>
      <c r="E64" s="12">
        <v>286253</v>
      </c>
      <c r="F64" s="10">
        <v>655</v>
      </c>
      <c r="G64" s="12">
        <v>501091</v>
      </c>
      <c r="H64" s="13">
        <v>11</v>
      </c>
      <c r="I64" s="10">
        <v>60</v>
      </c>
      <c r="J64" s="10" t="s">
        <v>9</v>
      </c>
      <c r="K64" s="14">
        <v>0.43</v>
      </c>
      <c r="L64" s="10" t="s">
        <v>21</v>
      </c>
      <c r="M64" s="10" t="s">
        <v>5</v>
      </c>
      <c r="N64" s="10">
        <v>0</v>
      </c>
      <c r="O64" s="10"/>
    </row>
    <row r="65" spans="1:15" x14ac:dyDescent="0.25">
      <c r="A65" s="9" t="s">
        <v>113</v>
      </c>
      <c r="B65" s="15">
        <v>45656</v>
      </c>
      <c r="C65" s="9">
        <v>59</v>
      </c>
      <c r="D65" s="9" t="s">
        <v>16</v>
      </c>
      <c r="E65" s="16">
        <v>1409519</v>
      </c>
      <c r="F65" s="9">
        <v>375</v>
      </c>
      <c r="G65" s="16">
        <v>1024802</v>
      </c>
      <c r="H65" s="17">
        <v>21</v>
      </c>
      <c r="I65" s="9">
        <v>24</v>
      </c>
      <c r="J65" s="9" t="s">
        <v>14</v>
      </c>
      <c r="K65" s="18">
        <v>0.2</v>
      </c>
      <c r="L65" s="9" t="s">
        <v>19</v>
      </c>
      <c r="M65" s="9" t="s">
        <v>5</v>
      </c>
      <c r="N65" s="9">
        <v>0</v>
      </c>
      <c r="O65" s="9"/>
    </row>
    <row r="66" spans="1:15" x14ac:dyDescent="0.25">
      <c r="A66" s="10" t="s">
        <v>114</v>
      </c>
      <c r="B66" s="11">
        <v>46004</v>
      </c>
      <c r="C66" s="10">
        <v>60</v>
      </c>
      <c r="D66" s="10" t="s">
        <v>17</v>
      </c>
      <c r="E66" s="12">
        <v>952274</v>
      </c>
      <c r="F66" s="10">
        <v>522</v>
      </c>
      <c r="G66" s="12">
        <v>873673</v>
      </c>
      <c r="H66" s="13">
        <v>6</v>
      </c>
      <c r="I66" s="10">
        <v>60</v>
      </c>
      <c r="J66" s="10" t="s">
        <v>9</v>
      </c>
      <c r="K66" s="14">
        <v>0.17</v>
      </c>
      <c r="L66" s="10" t="s">
        <v>19</v>
      </c>
      <c r="M66" s="10" t="s">
        <v>3</v>
      </c>
      <c r="N66" s="10">
        <v>0</v>
      </c>
      <c r="O66" s="10"/>
    </row>
    <row r="67" spans="1:15" x14ac:dyDescent="0.25">
      <c r="A67" s="9" t="s">
        <v>115</v>
      </c>
      <c r="B67" s="15">
        <v>44983</v>
      </c>
      <c r="C67" s="9">
        <v>51</v>
      </c>
      <c r="D67" s="9" t="s">
        <v>16</v>
      </c>
      <c r="E67" s="16">
        <v>434805</v>
      </c>
      <c r="F67" s="9">
        <v>819</v>
      </c>
      <c r="G67" s="16">
        <v>847670</v>
      </c>
      <c r="H67" s="17">
        <v>16</v>
      </c>
      <c r="I67" s="9">
        <v>36</v>
      </c>
      <c r="J67" s="9" t="s">
        <v>11</v>
      </c>
      <c r="K67" s="18">
        <v>0.15</v>
      </c>
      <c r="L67" s="9" t="s">
        <v>19</v>
      </c>
      <c r="M67" s="9" t="s">
        <v>3</v>
      </c>
      <c r="N67" s="9">
        <v>0</v>
      </c>
      <c r="O67" s="9"/>
    </row>
    <row r="68" spans="1:15" x14ac:dyDescent="0.25">
      <c r="A68" s="10" t="s">
        <v>116</v>
      </c>
      <c r="B68" s="11">
        <v>45068</v>
      </c>
      <c r="C68" s="10">
        <v>61</v>
      </c>
      <c r="D68" s="10" t="s">
        <v>9</v>
      </c>
      <c r="E68" s="12">
        <v>445108</v>
      </c>
      <c r="F68" s="10">
        <v>634</v>
      </c>
      <c r="G68" s="12">
        <v>198814</v>
      </c>
      <c r="H68" s="13">
        <v>15</v>
      </c>
      <c r="I68" s="10">
        <v>60</v>
      </c>
      <c r="J68" s="10" t="s">
        <v>9</v>
      </c>
      <c r="K68" s="14">
        <v>0.43</v>
      </c>
      <c r="L68" s="10" t="s">
        <v>19</v>
      </c>
      <c r="M68" s="10" t="s">
        <v>4</v>
      </c>
      <c r="N68" s="10">
        <v>0</v>
      </c>
      <c r="O68" s="10"/>
    </row>
    <row r="69" spans="1:15" x14ac:dyDescent="0.25">
      <c r="A69" s="9" t="s">
        <v>117</v>
      </c>
      <c r="B69" s="15">
        <v>45361</v>
      </c>
      <c r="C69" s="9">
        <v>21</v>
      </c>
      <c r="D69" s="9" t="s">
        <v>9</v>
      </c>
      <c r="E69" s="16">
        <v>1482456</v>
      </c>
      <c r="F69" s="9">
        <v>458</v>
      </c>
      <c r="G69" s="16">
        <v>978840</v>
      </c>
      <c r="H69" s="17">
        <v>13</v>
      </c>
      <c r="I69" s="9">
        <v>60</v>
      </c>
      <c r="J69" s="9" t="s">
        <v>10</v>
      </c>
      <c r="K69" s="18">
        <v>0.28000000000000003</v>
      </c>
      <c r="L69" s="9" t="s">
        <v>19</v>
      </c>
      <c r="M69" s="9" t="s">
        <v>4</v>
      </c>
      <c r="N69" s="9">
        <v>0</v>
      </c>
      <c r="O69" s="9"/>
    </row>
    <row r="70" spans="1:15" x14ac:dyDescent="0.25">
      <c r="A70" s="10" t="s">
        <v>118</v>
      </c>
      <c r="B70" s="11">
        <v>45397</v>
      </c>
      <c r="C70" s="10">
        <v>22</v>
      </c>
      <c r="D70" s="10" t="s">
        <v>9</v>
      </c>
      <c r="E70" s="12">
        <v>1507106</v>
      </c>
      <c r="F70" s="10">
        <v>314</v>
      </c>
      <c r="G70" s="12">
        <v>1535126</v>
      </c>
      <c r="H70" s="13">
        <v>6</v>
      </c>
      <c r="I70" s="10">
        <v>24</v>
      </c>
      <c r="J70" s="10" t="s">
        <v>12</v>
      </c>
      <c r="K70" s="14">
        <v>0.45</v>
      </c>
      <c r="L70" s="10" t="s">
        <v>19</v>
      </c>
      <c r="M70" s="10" t="s">
        <v>3</v>
      </c>
      <c r="N70" s="10">
        <v>1</v>
      </c>
      <c r="O70" s="10"/>
    </row>
    <row r="71" spans="1:15" x14ac:dyDescent="0.25">
      <c r="A71" s="9" t="s">
        <v>119</v>
      </c>
      <c r="B71" s="15">
        <v>46019</v>
      </c>
      <c r="C71" s="9">
        <v>32</v>
      </c>
      <c r="D71" s="9" t="s">
        <v>9</v>
      </c>
      <c r="E71" s="16">
        <v>1629175</v>
      </c>
      <c r="F71" s="9">
        <v>315</v>
      </c>
      <c r="G71" s="16">
        <v>1859731</v>
      </c>
      <c r="H71" s="17">
        <v>7</v>
      </c>
      <c r="I71" s="9">
        <v>36</v>
      </c>
      <c r="J71" s="9" t="s">
        <v>10</v>
      </c>
      <c r="K71" s="18">
        <v>0.27</v>
      </c>
      <c r="L71" s="9" t="s">
        <v>18</v>
      </c>
      <c r="M71" s="9" t="s">
        <v>2</v>
      </c>
      <c r="N71" s="9">
        <v>0</v>
      </c>
      <c r="O71" s="9"/>
    </row>
    <row r="72" spans="1:15" x14ac:dyDescent="0.25">
      <c r="A72" s="10" t="s">
        <v>120</v>
      </c>
      <c r="B72" s="11">
        <v>45765</v>
      </c>
      <c r="C72" s="10">
        <v>49</v>
      </c>
      <c r="D72" s="10" t="s">
        <v>9</v>
      </c>
      <c r="E72" s="12">
        <v>2059982</v>
      </c>
      <c r="F72" s="10">
        <v>464</v>
      </c>
      <c r="G72" s="12">
        <v>579298</v>
      </c>
      <c r="H72" s="13">
        <v>10</v>
      </c>
      <c r="I72" s="10">
        <v>36</v>
      </c>
      <c r="J72" s="10" t="s">
        <v>10</v>
      </c>
      <c r="K72" s="14">
        <v>0.34</v>
      </c>
      <c r="L72" s="10" t="s">
        <v>20</v>
      </c>
      <c r="M72" s="10" t="s">
        <v>5</v>
      </c>
      <c r="N72" s="10">
        <v>1</v>
      </c>
      <c r="O72" s="10"/>
    </row>
    <row r="73" spans="1:15" x14ac:dyDescent="0.25">
      <c r="A73" s="9" t="s">
        <v>121</v>
      </c>
      <c r="B73" s="15">
        <v>45096</v>
      </c>
      <c r="C73" s="9">
        <v>57</v>
      </c>
      <c r="D73" s="9" t="s">
        <v>17</v>
      </c>
      <c r="E73" s="16">
        <v>1489166</v>
      </c>
      <c r="F73" s="9">
        <v>725</v>
      </c>
      <c r="G73" s="16">
        <v>390225</v>
      </c>
      <c r="H73" s="17">
        <v>19</v>
      </c>
      <c r="I73" s="9">
        <v>60</v>
      </c>
      <c r="J73" s="9" t="s">
        <v>9</v>
      </c>
      <c r="K73" s="18">
        <v>0.4</v>
      </c>
      <c r="L73" s="9" t="s">
        <v>18</v>
      </c>
      <c r="M73" s="9" t="s">
        <v>3</v>
      </c>
      <c r="N73" s="9">
        <v>1</v>
      </c>
      <c r="O73" s="9"/>
    </row>
    <row r="74" spans="1:15" x14ac:dyDescent="0.25">
      <c r="A74" s="10" t="s">
        <v>122</v>
      </c>
      <c r="B74" s="11">
        <v>45124</v>
      </c>
      <c r="C74" s="10">
        <v>41</v>
      </c>
      <c r="D74" s="10" t="s">
        <v>16</v>
      </c>
      <c r="E74" s="12">
        <v>768118</v>
      </c>
      <c r="F74" s="10">
        <v>300</v>
      </c>
      <c r="G74" s="12">
        <v>822722</v>
      </c>
      <c r="H74" s="13">
        <v>20</v>
      </c>
      <c r="I74" s="10">
        <v>24</v>
      </c>
      <c r="J74" s="10" t="s">
        <v>13</v>
      </c>
      <c r="K74" s="14">
        <v>0.52</v>
      </c>
      <c r="L74" s="10" t="s">
        <v>19</v>
      </c>
      <c r="M74" s="10" t="s">
        <v>4</v>
      </c>
      <c r="N74" s="10">
        <v>0</v>
      </c>
      <c r="O74" s="10"/>
    </row>
    <row r="75" spans="1:15" x14ac:dyDescent="0.25">
      <c r="A75" s="9" t="s">
        <v>123</v>
      </c>
      <c r="B75" s="15">
        <v>45906</v>
      </c>
      <c r="C75" s="9">
        <v>33</v>
      </c>
      <c r="D75" s="9" t="s">
        <v>17</v>
      </c>
      <c r="E75" s="16">
        <v>2273055</v>
      </c>
      <c r="F75" s="9">
        <v>437</v>
      </c>
      <c r="G75" s="16">
        <v>1856507</v>
      </c>
      <c r="H75" s="17">
        <v>6</v>
      </c>
      <c r="I75" s="9">
        <v>60</v>
      </c>
      <c r="J75" s="9" t="s">
        <v>12</v>
      </c>
      <c r="K75" s="18">
        <v>0.6</v>
      </c>
      <c r="L75" s="9" t="s">
        <v>21</v>
      </c>
      <c r="M75" s="9" t="s">
        <v>5</v>
      </c>
      <c r="N75" s="9">
        <v>1</v>
      </c>
      <c r="O75" s="9"/>
    </row>
    <row r="76" spans="1:15" x14ac:dyDescent="0.25">
      <c r="A76" s="10" t="s">
        <v>124</v>
      </c>
      <c r="B76" s="11">
        <v>44951</v>
      </c>
      <c r="C76" s="10">
        <v>56</v>
      </c>
      <c r="D76" s="10" t="s">
        <v>16</v>
      </c>
      <c r="E76" s="12">
        <v>1598165</v>
      </c>
      <c r="F76" s="10">
        <v>383</v>
      </c>
      <c r="G76" s="12">
        <v>581180</v>
      </c>
      <c r="H76" s="13">
        <v>15</v>
      </c>
      <c r="I76" s="10">
        <v>36</v>
      </c>
      <c r="J76" s="10" t="s">
        <v>11</v>
      </c>
      <c r="K76" s="14">
        <v>0.18</v>
      </c>
      <c r="L76" s="10" t="s">
        <v>22</v>
      </c>
      <c r="M76" s="10" t="s">
        <v>4</v>
      </c>
      <c r="N76" s="10">
        <v>0</v>
      </c>
      <c r="O76" s="10"/>
    </row>
    <row r="77" spans="1:15" x14ac:dyDescent="0.25">
      <c r="A77" s="9" t="s">
        <v>125</v>
      </c>
      <c r="B77" s="15">
        <v>45006</v>
      </c>
      <c r="C77" s="9">
        <v>52</v>
      </c>
      <c r="D77" s="9" t="s">
        <v>9</v>
      </c>
      <c r="E77" s="16">
        <v>1531587</v>
      </c>
      <c r="F77" s="9">
        <v>352</v>
      </c>
      <c r="G77" s="16">
        <v>1741386</v>
      </c>
      <c r="H77" s="17">
        <v>18</v>
      </c>
      <c r="I77" s="9">
        <v>12</v>
      </c>
      <c r="J77" s="9" t="s">
        <v>12</v>
      </c>
      <c r="K77" s="18">
        <v>0.14000000000000001</v>
      </c>
      <c r="L77" s="9" t="s">
        <v>20</v>
      </c>
      <c r="M77" s="9" t="s">
        <v>5</v>
      </c>
      <c r="N77" s="9">
        <v>1</v>
      </c>
      <c r="O77" s="9"/>
    </row>
    <row r="78" spans="1:15" x14ac:dyDescent="0.25">
      <c r="A78" s="10" t="s">
        <v>126</v>
      </c>
      <c r="B78" s="11">
        <v>45163</v>
      </c>
      <c r="C78" s="10">
        <v>40</v>
      </c>
      <c r="D78" s="10" t="s">
        <v>9</v>
      </c>
      <c r="E78" s="12">
        <v>1510983</v>
      </c>
      <c r="F78" s="10">
        <v>401</v>
      </c>
      <c r="G78" s="12">
        <v>203549</v>
      </c>
      <c r="H78" s="13">
        <v>22</v>
      </c>
      <c r="I78" s="10">
        <v>12</v>
      </c>
      <c r="J78" s="10" t="s">
        <v>10</v>
      </c>
      <c r="K78" s="14">
        <v>0.49</v>
      </c>
      <c r="L78" s="10" t="s">
        <v>21</v>
      </c>
      <c r="M78" s="10" t="s">
        <v>5</v>
      </c>
      <c r="N78" s="10">
        <v>0</v>
      </c>
      <c r="O78" s="10"/>
    </row>
    <row r="79" spans="1:15" x14ac:dyDescent="0.25">
      <c r="A79" s="9" t="s">
        <v>127</v>
      </c>
      <c r="B79" s="15">
        <v>45950</v>
      </c>
      <c r="C79" s="9">
        <v>28</v>
      </c>
      <c r="D79" s="9" t="s">
        <v>17</v>
      </c>
      <c r="E79" s="16">
        <v>2301203</v>
      </c>
      <c r="F79" s="9">
        <v>332</v>
      </c>
      <c r="G79" s="16">
        <v>415041</v>
      </c>
      <c r="H79" s="17">
        <v>10</v>
      </c>
      <c r="I79" s="9">
        <v>12</v>
      </c>
      <c r="J79" s="9" t="s">
        <v>12</v>
      </c>
      <c r="K79" s="18">
        <v>0.17</v>
      </c>
      <c r="L79" s="9" t="s">
        <v>20</v>
      </c>
      <c r="M79" s="9" t="s">
        <v>4</v>
      </c>
      <c r="N79" s="9">
        <v>1</v>
      </c>
      <c r="O79" s="9"/>
    </row>
    <row r="80" spans="1:15" x14ac:dyDescent="0.25">
      <c r="A80" s="10" t="s">
        <v>128</v>
      </c>
      <c r="B80" s="11">
        <v>45092</v>
      </c>
      <c r="C80" s="10">
        <v>52</v>
      </c>
      <c r="D80" s="10" t="s">
        <v>16</v>
      </c>
      <c r="E80" s="12">
        <v>1121216</v>
      </c>
      <c r="F80" s="10">
        <v>477</v>
      </c>
      <c r="G80" s="12">
        <v>447118</v>
      </c>
      <c r="H80" s="13">
        <v>19</v>
      </c>
      <c r="I80" s="10">
        <v>60</v>
      </c>
      <c r="J80" s="10" t="s">
        <v>9</v>
      </c>
      <c r="K80" s="14">
        <v>0.3</v>
      </c>
      <c r="L80" s="10" t="s">
        <v>21</v>
      </c>
      <c r="M80" s="10" t="s">
        <v>5</v>
      </c>
      <c r="N80" s="10">
        <v>0</v>
      </c>
      <c r="O80" s="10"/>
    </row>
    <row r="81" spans="1:15" x14ac:dyDescent="0.25">
      <c r="A81" s="9" t="s">
        <v>129</v>
      </c>
      <c r="B81" s="15">
        <v>45446</v>
      </c>
      <c r="C81" s="9">
        <v>58</v>
      </c>
      <c r="D81" s="9" t="s">
        <v>16</v>
      </c>
      <c r="E81" s="16">
        <v>1742485</v>
      </c>
      <c r="F81" s="9">
        <v>723</v>
      </c>
      <c r="G81" s="16">
        <v>1554785</v>
      </c>
      <c r="H81" s="17">
        <v>24</v>
      </c>
      <c r="I81" s="9">
        <v>12</v>
      </c>
      <c r="J81" s="9" t="s">
        <v>9</v>
      </c>
      <c r="K81" s="18">
        <v>0.26</v>
      </c>
      <c r="L81" s="9" t="s">
        <v>20</v>
      </c>
      <c r="M81" s="9" t="s">
        <v>3</v>
      </c>
      <c r="N81" s="9">
        <v>0</v>
      </c>
      <c r="O81" s="9"/>
    </row>
    <row r="82" spans="1:15" x14ac:dyDescent="0.25">
      <c r="A82" s="10" t="s">
        <v>130</v>
      </c>
      <c r="B82" s="11">
        <v>45048</v>
      </c>
      <c r="C82" s="10">
        <v>49</v>
      </c>
      <c r="D82" s="10" t="s">
        <v>16</v>
      </c>
      <c r="E82" s="12">
        <v>1004005</v>
      </c>
      <c r="F82" s="10">
        <v>620</v>
      </c>
      <c r="G82" s="12">
        <v>1336833</v>
      </c>
      <c r="H82" s="13">
        <v>22</v>
      </c>
      <c r="I82" s="10">
        <v>24</v>
      </c>
      <c r="J82" s="10" t="s">
        <v>13</v>
      </c>
      <c r="K82" s="14">
        <v>0.42</v>
      </c>
      <c r="L82" s="10" t="s">
        <v>18</v>
      </c>
      <c r="M82" s="10" t="s">
        <v>3</v>
      </c>
      <c r="N82" s="10">
        <v>0</v>
      </c>
      <c r="O82" s="10"/>
    </row>
    <row r="83" spans="1:15" x14ac:dyDescent="0.25">
      <c r="A83" s="9" t="s">
        <v>131</v>
      </c>
      <c r="B83" s="15">
        <v>45991</v>
      </c>
      <c r="C83" s="9">
        <v>25</v>
      </c>
      <c r="D83" s="9" t="s">
        <v>9</v>
      </c>
      <c r="E83" s="16">
        <v>1477249</v>
      </c>
      <c r="F83" s="9">
        <v>388</v>
      </c>
      <c r="G83" s="16">
        <v>1564914</v>
      </c>
      <c r="H83" s="17">
        <v>22</v>
      </c>
      <c r="I83" s="9">
        <v>12</v>
      </c>
      <c r="J83" s="9" t="s">
        <v>10</v>
      </c>
      <c r="K83" s="18">
        <v>0.2</v>
      </c>
      <c r="L83" s="9" t="s">
        <v>18</v>
      </c>
      <c r="M83" s="9" t="s">
        <v>4</v>
      </c>
      <c r="N83" s="9">
        <v>1</v>
      </c>
      <c r="O83" s="9"/>
    </row>
    <row r="84" spans="1:15" x14ac:dyDescent="0.25">
      <c r="A84" s="10" t="s">
        <v>132</v>
      </c>
      <c r="B84" s="11">
        <v>45736</v>
      </c>
      <c r="C84" s="10">
        <v>56</v>
      </c>
      <c r="D84" s="10" t="s">
        <v>9</v>
      </c>
      <c r="E84" s="12">
        <v>337587</v>
      </c>
      <c r="F84" s="10">
        <v>645</v>
      </c>
      <c r="G84" s="12">
        <v>1352906</v>
      </c>
      <c r="H84" s="13">
        <v>20</v>
      </c>
      <c r="I84" s="10">
        <v>24</v>
      </c>
      <c r="J84" s="10" t="s">
        <v>14</v>
      </c>
      <c r="K84" s="14">
        <v>0.13</v>
      </c>
      <c r="L84" s="10" t="s">
        <v>20</v>
      </c>
      <c r="M84" s="10" t="s">
        <v>2</v>
      </c>
      <c r="N84" s="10">
        <v>0</v>
      </c>
      <c r="O84" s="10"/>
    </row>
    <row r="85" spans="1:15" x14ac:dyDescent="0.25">
      <c r="A85" s="9" t="s">
        <v>133</v>
      </c>
      <c r="B85" s="15">
        <v>45209</v>
      </c>
      <c r="C85" s="9">
        <v>56</v>
      </c>
      <c r="D85" s="9" t="s">
        <v>16</v>
      </c>
      <c r="E85" s="16">
        <v>1339738</v>
      </c>
      <c r="F85" s="9">
        <v>743</v>
      </c>
      <c r="G85" s="16">
        <v>1663523</v>
      </c>
      <c r="H85" s="17">
        <v>11</v>
      </c>
      <c r="I85" s="9">
        <v>60</v>
      </c>
      <c r="J85" s="9" t="s">
        <v>9</v>
      </c>
      <c r="K85" s="18">
        <v>0.4</v>
      </c>
      <c r="L85" s="9" t="s">
        <v>22</v>
      </c>
      <c r="M85" s="9" t="s">
        <v>2</v>
      </c>
      <c r="N85" s="9">
        <v>0</v>
      </c>
      <c r="O85" s="9"/>
    </row>
    <row r="86" spans="1:15" x14ac:dyDescent="0.25">
      <c r="A86" s="10" t="s">
        <v>134</v>
      </c>
      <c r="B86" s="11">
        <v>45788</v>
      </c>
      <c r="C86" s="10">
        <v>57</v>
      </c>
      <c r="D86" s="10" t="s">
        <v>17</v>
      </c>
      <c r="E86" s="12">
        <v>2114527</v>
      </c>
      <c r="F86" s="10">
        <v>778</v>
      </c>
      <c r="G86" s="12">
        <v>1279039</v>
      </c>
      <c r="H86" s="13">
        <v>11</v>
      </c>
      <c r="I86" s="10">
        <v>36</v>
      </c>
      <c r="J86" s="10" t="s">
        <v>13</v>
      </c>
      <c r="K86" s="14">
        <v>0.4</v>
      </c>
      <c r="L86" s="10" t="s">
        <v>22</v>
      </c>
      <c r="M86" s="10" t="s">
        <v>3</v>
      </c>
      <c r="N86" s="10">
        <v>0</v>
      </c>
      <c r="O86" s="10"/>
    </row>
    <row r="87" spans="1:15" x14ac:dyDescent="0.25">
      <c r="A87" s="9" t="s">
        <v>135</v>
      </c>
      <c r="B87" s="15">
        <v>45237</v>
      </c>
      <c r="C87" s="9">
        <v>21</v>
      </c>
      <c r="D87" s="9" t="s">
        <v>9</v>
      </c>
      <c r="E87" s="16">
        <v>1383708</v>
      </c>
      <c r="F87" s="9">
        <v>522</v>
      </c>
      <c r="G87" s="16">
        <v>1756188</v>
      </c>
      <c r="H87" s="17">
        <v>8</v>
      </c>
      <c r="I87" s="9">
        <v>36</v>
      </c>
      <c r="J87" s="9" t="s">
        <v>12</v>
      </c>
      <c r="K87" s="18">
        <v>0.11</v>
      </c>
      <c r="L87" s="9" t="s">
        <v>18</v>
      </c>
      <c r="M87" s="9" t="s">
        <v>3</v>
      </c>
      <c r="N87" s="9">
        <v>1</v>
      </c>
      <c r="O87" s="9"/>
    </row>
    <row r="88" spans="1:15" x14ac:dyDescent="0.25">
      <c r="A88" s="10" t="s">
        <v>136</v>
      </c>
      <c r="B88" s="11">
        <v>45586</v>
      </c>
      <c r="C88" s="10">
        <v>57</v>
      </c>
      <c r="D88" s="10" t="s">
        <v>16</v>
      </c>
      <c r="E88" s="12">
        <v>681407</v>
      </c>
      <c r="F88" s="10">
        <v>500</v>
      </c>
      <c r="G88" s="12">
        <v>1143547</v>
      </c>
      <c r="H88" s="13">
        <v>7</v>
      </c>
      <c r="I88" s="10">
        <v>60</v>
      </c>
      <c r="J88" s="10" t="s">
        <v>14</v>
      </c>
      <c r="K88" s="14">
        <v>0.15</v>
      </c>
      <c r="L88" s="10" t="s">
        <v>20</v>
      </c>
      <c r="M88" s="10" t="s">
        <v>4</v>
      </c>
      <c r="N88" s="10">
        <v>0</v>
      </c>
      <c r="O88" s="10"/>
    </row>
    <row r="89" spans="1:15" x14ac:dyDescent="0.25">
      <c r="A89" s="9" t="s">
        <v>137</v>
      </c>
      <c r="B89" s="15">
        <v>45833</v>
      </c>
      <c r="C89" s="9">
        <v>58</v>
      </c>
      <c r="D89" s="9" t="s">
        <v>9</v>
      </c>
      <c r="E89" s="16">
        <v>1861836</v>
      </c>
      <c r="F89" s="9">
        <v>797</v>
      </c>
      <c r="G89" s="16">
        <v>1732743</v>
      </c>
      <c r="H89" s="17">
        <v>12</v>
      </c>
      <c r="I89" s="9">
        <v>12</v>
      </c>
      <c r="J89" s="9" t="s">
        <v>9</v>
      </c>
      <c r="K89" s="18">
        <v>0.45</v>
      </c>
      <c r="L89" s="9" t="s">
        <v>21</v>
      </c>
      <c r="M89" s="9" t="s">
        <v>4</v>
      </c>
      <c r="N89" s="9">
        <v>0</v>
      </c>
      <c r="O89" s="9"/>
    </row>
    <row r="90" spans="1:15" x14ac:dyDescent="0.25">
      <c r="A90" s="10" t="s">
        <v>138</v>
      </c>
      <c r="B90" s="11">
        <v>45224</v>
      </c>
      <c r="C90" s="10">
        <v>60</v>
      </c>
      <c r="D90" s="10" t="s">
        <v>17</v>
      </c>
      <c r="E90" s="12">
        <v>1523120</v>
      </c>
      <c r="F90" s="10">
        <v>468</v>
      </c>
      <c r="G90" s="12">
        <v>1420629</v>
      </c>
      <c r="H90" s="13">
        <v>13</v>
      </c>
      <c r="I90" s="10">
        <v>24</v>
      </c>
      <c r="J90" s="10" t="s">
        <v>13</v>
      </c>
      <c r="K90" s="14">
        <v>0.55000000000000004</v>
      </c>
      <c r="L90" s="10" t="s">
        <v>22</v>
      </c>
      <c r="M90" s="10" t="s">
        <v>3</v>
      </c>
      <c r="N90" s="10">
        <v>0</v>
      </c>
      <c r="O90" s="10"/>
    </row>
    <row r="91" spans="1:15" x14ac:dyDescent="0.25">
      <c r="A91" s="9" t="s">
        <v>139</v>
      </c>
      <c r="B91" s="15">
        <v>45435</v>
      </c>
      <c r="C91" s="9">
        <v>57</v>
      </c>
      <c r="D91" s="9" t="s">
        <v>16</v>
      </c>
      <c r="E91" s="16">
        <v>1722492</v>
      </c>
      <c r="F91" s="9">
        <v>314</v>
      </c>
      <c r="G91" s="16">
        <v>241242</v>
      </c>
      <c r="H91" s="17">
        <v>12</v>
      </c>
      <c r="I91" s="9">
        <v>60</v>
      </c>
      <c r="J91" s="9" t="s">
        <v>11</v>
      </c>
      <c r="K91" s="18">
        <v>0.5</v>
      </c>
      <c r="L91" s="9" t="s">
        <v>20</v>
      </c>
      <c r="M91" s="9" t="s">
        <v>5</v>
      </c>
      <c r="N91" s="9">
        <v>1</v>
      </c>
      <c r="O91" s="9"/>
    </row>
    <row r="92" spans="1:15" x14ac:dyDescent="0.25">
      <c r="A92" s="10" t="s">
        <v>140</v>
      </c>
      <c r="B92" s="11">
        <v>45455</v>
      </c>
      <c r="C92" s="10">
        <v>48</v>
      </c>
      <c r="D92" s="10" t="s">
        <v>9</v>
      </c>
      <c r="E92" s="12">
        <v>983232</v>
      </c>
      <c r="F92" s="10">
        <v>336</v>
      </c>
      <c r="G92" s="12">
        <v>1628530</v>
      </c>
      <c r="H92" s="13">
        <v>18</v>
      </c>
      <c r="I92" s="10">
        <v>24</v>
      </c>
      <c r="J92" s="10" t="s">
        <v>10</v>
      </c>
      <c r="K92" s="14">
        <v>0.16</v>
      </c>
      <c r="L92" s="10" t="s">
        <v>20</v>
      </c>
      <c r="M92" s="10" t="s">
        <v>3</v>
      </c>
      <c r="N92" s="10">
        <v>1</v>
      </c>
      <c r="O92" s="10"/>
    </row>
    <row r="93" spans="1:15" x14ac:dyDescent="0.25">
      <c r="A93" s="9" t="s">
        <v>141</v>
      </c>
      <c r="B93" s="15">
        <v>45084</v>
      </c>
      <c r="C93" s="9">
        <v>32</v>
      </c>
      <c r="D93" s="9" t="s">
        <v>9</v>
      </c>
      <c r="E93" s="16">
        <v>2036387</v>
      </c>
      <c r="F93" s="9">
        <v>666</v>
      </c>
      <c r="G93" s="16">
        <v>998991</v>
      </c>
      <c r="H93" s="17">
        <v>11</v>
      </c>
      <c r="I93" s="9">
        <v>60</v>
      </c>
      <c r="J93" s="9" t="s">
        <v>11</v>
      </c>
      <c r="K93" s="18">
        <v>0.6</v>
      </c>
      <c r="L93" s="9" t="s">
        <v>20</v>
      </c>
      <c r="M93" s="9" t="s">
        <v>4</v>
      </c>
      <c r="N93" s="9">
        <v>0</v>
      </c>
      <c r="O93" s="9"/>
    </row>
    <row r="94" spans="1:15" x14ac:dyDescent="0.25">
      <c r="A94" s="10" t="s">
        <v>142</v>
      </c>
      <c r="B94" s="11">
        <v>45030</v>
      </c>
      <c r="C94" s="10">
        <v>51</v>
      </c>
      <c r="D94" s="10" t="s">
        <v>16</v>
      </c>
      <c r="E94" s="12">
        <v>538643</v>
      </c>
      <c r="F94" s="10">
        <v>478</v>
      </c>
      <c r="G94" s="12">
        <v>453976</v>
      </c>
      <c r="H94" s="13">
        <v>23</v>
      </c>
      <c r="I94" s="10">
        <v>12</v>
      </c>
      <c r="J94" s="10" t="s">
        <v>11</v>
      </c>
      <c r="K94" s="14">
        <v>0.56999999999999995</v>
      </c>
      <c r="L94" s="10" t="s">
        <v>18</v>
      </c>
      <c r="M94" s="10" t="s">
        <v>4</v>
      </c>
      <c r="N94" s="10">
        <v>0</v>
      </c>
      <c r="O94" s="10"/>
    </row>
    <row r="95" spans="1:15" x14ac:dyDescent="0.25">
      <c r="A95" s="9" t="s">
        <v>143</v>
      </c>
      <c r="B95" s="15">
        <v>45771</v>
      </c>
      <c r="C95" s="9">
        <v>27</v>
      </c>
      <c r="D95" s="9" t="s">
        <v>9</v>
      </c>
      <c r="E95" s="16">
        <v>1388697</v>
      </c>
      <c r="F95" s="9">
        <v>817</v>
      </c>
      <c r="G95" s="16">
        <v>753210</v>
      </c>
      <c r="H95" s="17">
        <v>22</v>
      </c>
      <c r="I95" s="9">
        <v>24</v>
      </c>
      <c r="J95" s="9" t="s">
        <v>11</v>
      </c>
      <c r="K95" s="18">
        <v>0.59</v>
      </c>
      <c r="L95" s="9" t="s">
        <v>20</v>
      </c>
      <c r="M95" s="9" t="s">
        <v>2</v>
      </c>
      <c r="N95" s="9">
        <v>0</v>
      </c>
      <c r="O95" s="9"/>
    </row>
    <row r="96" spans="1:15" x14ac:dyDescent="0.25">
      <c r="A96" s="10" t="s">
        <v>144</v>
      </c>
      <c r="B96" s="11">
        <v>45827</v>
      </c>
      <c r="C96" s="10">
        <v>31</v>
      </c>
      <c r="D96" s="10" t="s">
        <v>9</v>
      </c>
      <c r="E96" s="12">
        <v>1189026</v>
      </c>
      <c r="F96" s="10">
        <v>762</v>
      </c>
      <c r="G96" s="12">
        <v>176375</v>
      </c>
      <c r="H96" s="13">
        <v>6</v>
      </c>
      <c r="I96" s="10">
        <v>36</v>
      </c>
      <c r="J96" s="10" t="s">
        <v>11</v>
      </c>
      <c r="K96" s="14">
        <v>0.56000000000000005</v>
      </c>
      <c r="L96" s="10" t="s">
        <v>21</v>
      </c>
      <c r="M96" s="10" t="s">
        <v>3</v>
      </c>
      <c r="N96" s="10">
        <v>0</v>
      </c>
      <c r="O96" s="10"/>
    </row>
    <row r="97" spans="1:15" x14ac:dyDescent="0.25">
      <c r="A97" s="9" t="s">
        <v>145</v>
      </c>
      <c r="B97" s="15">
        <v>45843</v>
      </c>
      <c r="C97" s="9">
        <v>43</v>
      </c>
      <c r="D97" s="9" t="s">
        <v>16</v>
      </c>
      <c r="E97" s="16">
        <v>1584743</v>
      </c>
      <c r="F97" s="9">
        <v>603</v>
      </c>
      <c r="G97" s="16">
        <v>1694781</v>
      </c>
      <c r="H97" s="17">
        <v>13</v>
      </c>
      <c r="I97" s="9">
        <v>24</v>
      </c>
      <c r="J97" s="9" t="s">
        <v>14</v>
      </c>
      <c r="K97" s="18">
        <v>0.12</v>
      </c>
      <c r="L97" s="9" t="s">
        <v>22</v>
      </c>
      <c r="M97" s="9" t="s">
        <v>4</v>
      </c>
      <c r="N97" s="9">
        <v>1</v>
      </c>
      <c r="O97" s="9"/>
    </row>
    <row r="98" spans="1:15" x14ac:dyDescent="0.25">
      <c r="A98" s="10" t="s">
        <v>146</v>
      </c>
      <c r="B98" s="11">
        <v>45862</v>
      </c>
      <c r="C98" s="10">
        <v>23</v>
      </c>
      <c r="D98" s="10" t="s">
        <v>17</v>
      </c>
      <c r="E98" s="12">
        <v>1235525</v>
      </c>
      <c r="F98" s="10">
        <v>675</v>
      </c>
      <c r="G98" s="12">
        <v>1569468</v>
      </c>
      <c r="H98" s="13">
        <v>8</v>
      </c>
      <c r="I98" s="10">
        <v>24</v>
      </c>
      <c r="J98" s="10" t="s">
        <v>9</v>
      </c>
      <c r="K98" s="14">
        <v>0.36</v>
      </c>
      <c r="L98" s="10" t="s">
        <v>22</v>
      </c>
      <c r="M98" s="10" t="s">
        <v>5</v>
      </c>
      <c r="N98" s="10">
        <v>0</v>
      </c>
      <c r="O98" s="10"/>
    </row>
    <row r="99" spans="1:15" x14ac:dyDescent="0.25">
      <c r="A99" s="9" t="s">
        <v>147</v>
      </c>
      <c r="B99" s="15">
        <v>45527</v>
      </c>
      <c r="C99" s="9">
        <v>33</v>
      </c>
      <c r="D99" s="9" t="s">
        <v>16</v>
      </c>
      <c r="E99" s="16">
        <v>1631463</v>
      </c>
      <c r="F99" s="9">
        <v>825</v>
      </c>
      <c r="G99" s="16">
        <v>1447796</v>
      </c>
      <c r="H99" s="17">
        <v>6</v>
      </c>
      <c r="I99" s="9">
        <v>24</v>
      </c>
      <c r="J99" s="9" t="s">
        <v>11</v>
      </c>
      <c r="K99" s="18">
        <v>0.36</v>
      </c>
      <c r="L99" s="9" t="s">
        <v>20</v>
      </c>
      <c r="M99" s="9" t="s">
        <v>3</v>
      </c>
      <c r="N99" s="9">
        <v>0</v>
      </c>
      <c r="O99" s="9"/>
    </row>
    <row r="100" spans="1:15" x14ac:dyDescent="0.25">
      <c r="A100" s="10" t="s">
        <v>148</v>
      </c>
      <c r="B100" s="11">
        <v>45656</v>
      </c>
      <c r="C100" s="10">
        <v>33</v>
      </c>
      <c r="D100" s="10" t="s">
        <v>16</v>
      </c>
      <c r="E100" s="12">
        <v>2154823</v>
      </c>
      <c r="F100" s="10">
        <v>783</v>
      </c>
      <c r="G100" s="12">
        <v>464383</v>
      </c>
      <c r="H100" s="13">
        <v>9</v>
      </c>
      <c r="I100" s="10">
        <v>60</v>
      </c>
      <c r="J100" s="10" t="s">
        <v>11</v>
      </c>
      <c r="K100" s="14">
        <v>0.56999999999999995</v>
      </c>
      <c r="L100" s="10" t="s">
        <v>22</v>
      </c>
      <c r="M100" s="10" t="s">
        <v>3</v>
      </c>
      <c r="N100" s="10">
        <v>0</v>
      </c>
      <c r="O100" s="10"/>
    </row>
    <row r="101" spans="1:15" x14ac:dyDescent="0.25">
      <c r="A101" s="9" t="s">
        <v>149</v>
      </c>
      <c r="B101" s="15">
        <v>45846</v>
      </c>
      <c r="C101" s="9">
        <v>22</v>
      </c>
      <c r="D101" s="9" t="s">
        <v>17</v>
      </c>
      <c r="E101" s="16">
        <v>2000196</v>
      </c>
      <c r="F101" s="9">
        <v>631</v>
      </c>
      <c r="G101" s="16">
        <v>1789900</v>
      </c>
      <c r="H101" s="17">
        <v>15</v>
      </c>
      <c r="I101" s="9">
        <v>12</v>
      </c>
      <c r="J101" s="9" t="s">
        <v>13</v>
      </c>
      <c r="K101" s="18">
        <v>0.37</v>
      </c>
      <c r="L101" s="9" t="s">
        <v>22</v>
      </c>
      <c r="M101" s="9" t="s">
        <v>5</v>
      </c>
      <c r="N101" s="9">
        <v>0</v>
      </c>
      <c r="O101" s="9"/>
    </row>
    <row r="102" spans="1:15" x14ac:dyDescent="0.25">
      <c r="A102" s="10" t="s">
        <v>150</v>
      </c>
      <c r="B102" s="11">
        <v>45207</v>
      </c>
      <c r="C102" s="10">
        <v>64</v>
      </c>
      <c r="D102" s="10" t="s">
        <v>17</v>
      </c>
      <c r="E102" s="12">
        <v>1017754</v>
      </c>
      <c r="F102" s="10">
        <v>742</v>
      </c>
      <c r="G102" s="12">
        <v>1903428</v>
      </c>
      <c r="H102" s="13">
        <v>13</v>
      </c>
      <c r="I102" s="10">
        <v>36</v>
      </c>
      <c r="J102" s="10" t="s">
        <v>10</v>
      </c>
      <c r="K102" s="14">
        <v>0.54</v>
      </c>
      <c r="L102" s="10" t="s">
        <v>22</v>
      </c>
      <c r="M102" s="10" t="s">
        <v>2</v>
      </c>
      <c r="N102" s="10">
        <v>1</v>
      </c>
      <c r="O102" s="10"/>
    </row>
    <row r="103" spans="1:15" x14ac:dyDescent="0.25">
      <c r="A103" s="9" t="s">
        <v>151</v>
      </c>
      <c r="B103" s="15">
        <v>45970</v>
      </c>
      <c r="C103" s="9">
        <v>32</v>
      </c>
      <c r="D103" s="9" t="s">
        <v>16</v>
      </c>
      <c r="E103" s="16">
        <v>1037179</v>
      </c>
      <c r="F103" s="9">
        <v>723</v>
      </c>
      <c r="G103" s="16">
        <v>1546330</v>
      </c>
      <c r="H103" s="17">
        <v>16</v>
      </c>
      <c r="I103" s="9">
        <v>60</v>
      </c>
      <c r="J103" s="9" t="s">
        <v>13</v>
      </c>
      <c r="K103" s="18">
        <v>0.37</v>
      </c>
      <c r="L103" s="9" t="s">
        <v>21</v>
      </c>
      <c r="M103" s="9" t="s">
        <v>3</v>
      </c>
      <c r="N103" s="9">
        <v>0</v>
      </c>
      <c r="O103" s="9"/>
    </row>
    <row r="104" spans="1:15" x14ac:dyDescent="0.25">
      <c r="A104" s="10" t="s">
        <v>152</v>
      </c>
      <c r="B104" s="11">
        <v>45779</v>
      </c>
      <c r="C104" s="10">
        <v>30</v>
      </c>
      <c r="D104" s="10" t="s">
        <v>17</v>
      </c>
      <c r="E104" s="12">
        <v>272571</v>
      </c>
      <c r="F104" s="10">
        <v>691</v>
      </c>
      <c r="G104" s="12">
        <v>1911967</v>
      </c>
      <c r="H104" s="13">
        <v>17</v>
      </c>
      <c r="I104" s="10">
        <v>24</v>
      </c>
      <c r="J104" s="10" t="s">
        <v>12</v>
      </c>
      <c r="K104" s="14">
        <v>0.28999999999999998</v>
      </c>
      <c r="L104" s="10" t="s">
        <v>18</v>
      </c>
      <c r="M104" s="10" t="s">
        <v>5</v>
      </c>
      <c r="N104" s="10">
        <v>1</v>
      </c>
      <c r="O104" s="10"/>
    </row>
    <row r="105" spans="1:15" x14ac:dyDescent="0.25">
      <c r="A105" s="9" t="s">
        <v>153</v>
      </c>
      <c r="B105" s="15">
        <v>45253</v>
      </c>
      <c r="C105" s="9">
        <v>27</v>
      </c>
      <c r="D105" s="9" t="s">
        <v>16</v>
      </c>
      <c r="E105" s="16">
        <v>1568896</v>
      </c>
      <c r="F105" s="9">
        <v>749</v>
      </c>
      <c r="G105" s="16">
        <v>86332</v>
      </c>
      <c r="H105" s="17">
        <v>8</v>
      </c>
      <c r="I105" s="9">
        <v>60</v>
      </c>
      <c r="J105" s="9" t="s">
        <v>10</v>
      </c>
      <c r="K105" s="18">
        <v>0.35</v>
      </c>
      <c r="L105" s="9" t="s">
        <v>22</v>
      </c>
      <c r="M105" s="9" t="s">
        <v>2</v>
      </c>
      <c r="N105" s="9">
        <v>0</v>
      </c>
      <c r="O105" s="9"/>
    </row>
    <row r="106" spans="1:15" x14ac:dyDescent="0.25">
      <c r="A106" s="10" t="s">
        <v>154</v>
      </c>
      <c r="B106" s="11">
        <v>45506</v>
      </c>
      <c r="C106" s="10">
        <v>39</v>
      </c>
      <c r="D106" s="10" t="s">
        <v>9</v>
      </c>
      <c r="E106" s="12">
        <v>1009621</v>
      </c>
      <c r="F106" s="10">
        <v>401</v>
      </c>
      <c r="G106" s="12">
        <v>974461</v>
      </c>
      <c r="H106" s="13">
        <v>17</v>
      </c>
      <c r="I106" s="10">
        <v>60</v>
      </c>
      <c r="J106" s="10" t="s">
        <v>12</v>
      </c>
      <c r="K106" s="14">
        <v>0.59</v>
      </c>
      <c r="L106" s="10" t="s">
        <v>19</v>
      </c>
      <c r="M106" s="10" t="s">
        <v>2</v>
      </c>
      <c r="N106" s="10">
        <v>1</v>
      </c>
      <c r="O106" s="10"/>
    </row>
    <row r="107" spans="1:15" x14ac:dyDescent="0.25">
      <c r="A107" s="9" t="s">
        <v>155</v>
      </c>
      <c r="B107" s="15">
        <v>45771</v>
      </c>
      <c r="C107" s="9">
        <v>24</v>
      </c>
      <c r="D107" s="9" t="s">
        <v>9</v>
      </c>
      <c r="E107" s="16">
        <v>1422710</v>
      </c>
      <c r="F107" s="9">
        <v>459</v>
      </c>
      <c r="G107" s="16">
        <v>709273</v>
      </c>
      <c r="H107" s="17">
        <v>22</v>
      </c>
      <c r="I107" s="9">
        <v>12</v>
      </c>
      <c r="J107" s="9" t="s">
        <v>10</v>
      </c>
      <c r="K107" s="18">
        <v>0.48</v>
      </c>
      <c r="L107" s="9" t="s">
        <v>18</v>
      </c>
      <c r="M107" s="9" t="s">
        <v>5</v>
      </c>
      <c r="N107" s="9">
        <v>1</v>
      </c>
      <c r="O107" s="9"/>
    </row>
    <row r="108" spans="1:15" x14ac:dyDescent="0.25">
      <c r="A108" s="10" t="s">
        <v>156</v>
      </c>
      <c r="B108" s="11">
        <v>45156</v>
      </c>
      <c r="C108" s="10">
        <v>31</v>
      </c>
      <c r="D108" s="10" t="s">
        <v>17</v>
      </c>
      <c r="E108" s="12">
        <v>1449099</v>
      </c>
      <c r="F108" s="10">
        <v>735</v>
      </c>
      <c r="G108" s="12">
        <v>712710</v>
      </c>
      <c r="H108" s="13">
        <v>10</v>
      </c>
      <c r="I108" s="10">
        <v>60</v>
      </c>
      <c r="J108" s="10" t="s">
        <v>11</v>
      </c>
      <c r="K108" s="14">
        <v>0.17</v>
      </c>
      <c r="L108" s="10" t="s">
        <v>20</v>
      </c>
      <c r="M108" s="10" t="s">
        <v>5</v>
      </c>
      <c r="N108" s="10">
        <v>0</v>
      </c>
      <c r="O108" s="10"/>
    </row>
    <row r="109" spans="1:15" x14ac:dyDescent="0.25">
      <c r="A109" s="9" t="s">
        <v>157</v>
      </c>
      <c r="B109" s="15">
        <v>45147</v>
      </c>
      <c r="C109" s="9">
        <v>26</v>
      </c>
      <c r="D109" s="9" t="s">
        <v>16</v>
      </c>
      <c r="E109" s="16">
        <v>2041387</v>
      </c>
      <c r="F109" s="9">
        <v>707</v>
      </c>
      <c r="G109" s="16">
        <v>491800</v>
      </c>
      <c r="H109" s="17">
        <v>15</v>
      </c>
      <c r="I109" s="9">
        <v>12</v>
      </c>
      <c r="J109" s="9" t="s">
        <v>10</v>
      </c>
      <c r="K109" s="18">
        <v>0.52</v>
      </c>
      <c r="L109" s="9" t="s">
        <v>22</v>
      </c>
      <c r="M109" s="9" t="s">
        <v>2</v>
      </c>
      <c r="N109" s="9">
        <v>1</v>
      </c>
      <c r="O109" s="9"/>
    </row>
    <row r="110" spans="1:15" x14ac:dyDescent="0.25">
      <c r="A110" s="10" t="s">
        <v>158</v>
      </c>
      <c r="B110" s="11">
        <v>45890</v>
      </c>
      <c r="C110" s="10">
        <v>63</v>
      </c>
      <c r="D110" s="10" t="s">
        <v>16</v>
      </c>
      <c r="E110" s="12">
        <v>1439095</v>
      </c>
      <c r="F110" s="10">
        <v>541</v>
      </c>
      <c r="G110" s="12">
        <v>181224</v>
      </c>
      <c r="H110" s="13">
        <v>8</v>
      </c>
      <c r="I110" s="10">
        <v>60</v>
      </c>
      <c r="J110" s="10" t="s">
        <v>12</v>
      </c>
      <c r="K110" s="14">
        <v>0.11</v>
      </c>
      <c r="L110" s="10" t="s">
        <v>18</v>
      </c>
      <c r="M110" s="10" t="s">
        <v>3</v>
      </c>
      <c r="N110" s="10">
        <v>0</v>
      </c>
      <c r="O110" s="10"/>
    </row>
    <row r="111" spans="1:15" x14ac:dyDescent="0.25">
      <c r="A111" s="9" t="s">
        <v>159</v>
      </c>
      <c r="B111" s="15">
        <v>45450</v>
      </c>
      <c r="C111" s="9">
        <v>26</v>
      </c>
      <c r="D111" s="9" t="s">
        <v>16</v>
      </c>
      <c r="E111" s="16">
        <v>1168286</v>
      </c>
      <c r="F111" s="9">
        <v>354</v>
      </c>
      <c r="G111" s="16">
        <v>1881026</v>
      </c>
      <c r="H111" s="17">
        <v>10</v>
      </c>
      <c r="I111" s="9">
        <v>24</v>
      </c>
      <c r="J111" s="9" t="s">
        <v>11</v>
      </c>
      <c r="K111" s="18">
        <v>0.57999999999999996</v>
      </c>
      <c r="L111" s="9" t="s">
        <v>18</v>
      </c>
      <c r="M111" s="9" t="s">
        <v>2</v>
      </c>
      <c r="N111" s="9">
        <v>1</v>
      </c>
      <c r="O111" s="9"/>
    </row>
    <row r="112" spans="1:15" x14ac:dyDescent="0.25">
      <c r="A112" s="10" t="s">
        <v>160</v>
      </c>
      <c r="B112" s="11">
        <v>45677</v>
      </c>
      <c r="C112" s="10">
        <v>21</v>
      </c>
      <c r="D112" s="10" t="s">
        <v>16</v>
      </c>
      <c r="E112" s="12">
        <v>279387</v>
      </c>
      <c r="F112" s="10">
        <v>779</v>
      </c>
      <c r="G112" s="12">
        <v>1415199</v>
      </c>
      <c r="H112" s="13">
        <v>23</v>
      </c>
      <c r="I112" s="10">
        <v>24</v>
      </c>
      <c r="J112" s="10" t="s">
        <v>14</v>
      </c>
      <c r="K112" s="14">
        <v>0.1</v>
      </c>
      <c r="L112" s="10" t="s">
        <v>21</v>
      </c>
      <c r="M112" s="10" t="s">
        <v>4</v>
      </c>
      <c r="N112" s="10">
        <v>0</v>
      </c>
      <c r="O112" s="10"/>
    </row>
    <row r="113" spans="1:15" x14ac:dyDescent="0.25">
      <c r="A113" s="9" t="s">
        <v>161</v>
      </c>
      <c r="B113" s="15">
        <v>45181</v>
      </c>
      <c r="C113" s="9">
        <v>51</v>
      </c>
      <c r="D113" s="9" t="s">
        <v>17</v>
      </c>
      <c r="E113" s="16">
        <v>318571</v>
      </c>
      <c r="F113" s="9">
        <v>570</v>
      </c>
      <c r="G113" s="16">
        <v>201991</v>
      </c>
      <c r="H113" s="17">
        <v>22</v>
      </c>
      <c r="I113" s="9">
        <v>60</v>
      </c>
      <c r="J113" s="9" t="s">
        <v>11</v>
      </c>
      <c r="K113" s="18">
        <v>0.15</v>
      </c>
      <c r="L113" s="9" t="s">
        <v>18</v>
      </c>
      <c r="M113" s="9" t="s">
        <v>3</v>
      </c>
      <c r="N113" s="9">
        <v>0</v>
      </c>
      <c r="O113" s="9"/>
    </row>
    <row r="114" spans="1:15" x14ac:dyDescent="0.25">
      <c r="A114" s="10" t="s">
        <v>162</v>
      </c>
      <c r="B114" s="11">
        <v>45239</v>
      </c>
      <c r="C114" s="10">
        <v>26</v>
      </c>
      <c r="D114" s="10" t="s">
        <v>17</v>
      </c>
      <c r="E114" s="12">
        <v>1019492</v>
      </c>
      <c r="F114" s="10">
        <v>525</v>
      </c>
      <c r="G114" s="12">
        <v>208843</v>
      </c>
      <c r="H114" s="13">
        <v>21</v>
      </c>
      <c r="I114" s="10">
        <v>60</v>
      </c>
      <c r="J114" s="10" t="s">
        <v>10</v>
      </c>
      <c r="K114" s="14">
        <v>0.11</v>
      </c>
      <c r="L114" s="10" t="s">
        <v>22</v>
      </c>
      <c r="M114" s="10" t="s">
        <v>5</v>
      </c>
      <c r="N114" s="10">
        <v>0</v>
      </c>
      <c r="O114" s="10"/>
    </row>
    <row r="115" spans="1:15" x14ac:dyDescent="0.25">
      <c r="A115" s="9" t="s">
        <v>163</v>
      </c>
      <c r="B115" s="15">
        <v>45070</v>
      </c>
      <c r="C115" s="9">
        <v>60</v>
      </c>
      <c r="D115" s="9" t="s">
        <v>9</v>
      </c>
      <c r="E115" s="16">
        <v>1106568</v>
      </c>
      <c r="F115" s="9">
        <v>406</v>
      </c>
      <c r="G115" s="16">
        <v>392999</v>
      </c>
      <c r="H115" s="17">
        <v>12</v>
      </c>
      <c r="I115" s="9">
        <v>24</v>
      </c>
      <c r="J115" s="9" t="s">
        <v>14</v>
      </c>
      <c r="K115" s="18">
        <v>0.13</v>
      </c>
      <c r="L115" s="9" t="s">
        <v>18</v>
      </c>
      <c r="M115" s="9" t="s">
        <v>5</v>
      </c>
      <c r="N115" s="9">
        <v>1</v>
      </c>
      <c r="O115" s="9"/>
    </row>
    <row r="116" spans="1:15" x14ac:dyDescent="0.25">
      <c r="A116" s="10" t="s">
        <v>164</v>
      </c>
      <c r="B116" s="11">
        <v>45411</v>
      </c>
      <c r="C116" s="10">
        <v>56</v>
      </c>
      <c r="D116" s="10" t="s">
        <v>17</v>
      </c>
      <c r="E116" s="12">
        <v>1134884</v>
      </c>
      <c r="F116" s="10">
        <v>473</v>
      </c>
      <c r="G116" s="12">
        <v>1788690</v>
      </c>
      <c r="H116" s="13">
        <v>8</v>
      </c>
      <c r="I116" s="10">
        <v>24</v>
      </c>
      <c r="J116" s="10" t="s">
        <v>10</v>
      </c>
      <c r="K116" s="14">
        <v>0.21</v>
      </c>
      <c r="L116" s="10" t="s">
        <v>21</v>
      </c>
      <c r="M116" s="10" t="s">
        <v>2</v>
      </c>
      <c r="N116" s="10">
        <v>0</v>
      </c>
      <c r="O116" s="10"/>
    </row>
    <row r="117" spans="1:15" x14ac:dyDescent="0.25">
      <c r="A117" s="9" t="s">
        <v>165</v>
      </c>
      <c r="B117" s="15">
        <v>44931</v>
      </c>
      <c r="C117" s="9">
        <v>31</v>
      </c>
      <c r="D117" s="9" t="s">
        <v>9</v>
      </c>
      <c r="E117" s="16">
        <v>718920</v>
      </c>
      <c r="F117" s="9">
        <v>585</v>
      </c>
      <c r="G117" s="16">
        <v>1226216</v>
      </c>
      <c r="H117" s="17">
        <v>24</v>
      </c>
      <c r="I117" s="9">
        <v>12</v>
      </c>
      <c r="J117" s="9" t="s">
        <v>13</v>
      </c>
      <c r="K117" s="18">
        <v>0.53</v>
      </c>
      <c r="L117" s="9" t="s">
        <v>18</v>
      </c>
      <c r="M117" s="9" t="s">
        <v>2</v>
      </c>
      <c r="N117" s="9">
        <v>0</v>
      </c>
      <c r="O117" s="9"/>
    </row>
    <row r="118" spans="1:15" x14ac:dyDescent="0.25">
      <c r="A118" s="10" t="s">
        <v>166</v>
      </c>
      <c r="B118" s="11">
        <v>45834</v>
      </c>
      <c r="C118" s="10">
        <v>36</v>
      </c>
      <c r="D118" s="10" t="s">
        <v>17</v>
      </c>
      <c r="E118" s="12">
        <v>735395</v>
      </c>
      <c r="F118" s="10">
        <v>563</v>
      </c>
      <c r="G118" s="12">
        <v>1164549</v>
      </c>
      <c r="H118" s="13">
        <v>12</v>
      </c>
      <c r="I118" s="10">
        <v>36</v>
      </c>
      <c r="J118" s="10" t="s">
        <v>10</v>
      </c>
      <c r="K118" s="14">
        <v>0.21</v>
      </c>
      <c r="L118" s="10" t="s">
        <v>18</v>
      </c>
      <c r="M118" s="10" t="s">
        <v>4</v>
      </c>
      <c r="N118" s="10">
        <v>0</v>
      </c>
      <c r="O118" s="10"/>
    </row>
    <row r="119" spans="1:15" x14ac:dyDescent="0.25">
      <c r="A119" s="9" t="s">
        <v>167</v>
      </c>
      <c r="B119" s="15">
        <v>45515</v>
      </c>
      <c r="C119" s="9">
        <v>36</v>
      </c>
      <c r="D119" s="9" t="s">
        <v>17</v>
      </c>
      <c r="E119" s="16">
        <v>2364477</v>
      </c>
      <c r="F119" s="9">
        <v>496</v>
      </c>
      <c r="G119" s="16">
        <v>788644</v>
      </c>
      <c r="H119" s="17">
        <v>20</v>
      </c>
      <c r="I119" s="9">
        <v>36</v>
      </c>
      <c r="J119" s="9" t="s">
        <v>9</v>
      </c>
      <c r="K119" s="18">
        <v>0.15</v>
      </c>
      <c r="L119" s="9" t="s">
        <v>22</v>
      </c>
      <c r="M119" s="9" t="s">
        <v>3</v>
      </c>
      <c r="N119" s="9">
        <v>0</v>
      </c>
      <c r="O119" s="9"/>
    </row>
    <row r="120" spans="1:15" x14ac:dyDescent="0.25">
      <c r="A120" s="10" t="s">
        <v>168</v>
      </c>
      <c r="B120" s="11">
        <v>45936</v>
      </c>
      <c r="C120" s="10">
        <v>44</v>
      </c>
      <c r="D120" s="10" t="s">
        <v>9</v>
      </c>
      <c r="E120" s="12">
        <v>866209</v>
      </c>
      <c r="F120" s="10">
        <v>361</v>
      </c>
      <c r="G120" s="12">
        <v>1789567</v>
      </c>
      <c r="H120" s="13">
        <v>9</v>
      </c>
      <c r="I120" s="10">
        <v>24</v>
      </c>
      <c r="J120" s="10" t="s">
        <v>12</v>
      </c>
      <c r="K120" s="14">
        <v>0.2</v>
      </c>
      <c r="L120" s="10" t="s">
        <v>20</v>
      </c>
      <c r="M120" s="10" t="s">
        <v>5</v>
      </c>
      <c r="N120" s="10">
        <v>0</v>
      </c>
      <c r="O120" s="10"/>
    </row>
    <row r="121" spans="1:15" x14ac:dyDescent="0.25">
      <c r="A121" s="9" t="s">
        <v>169</v>
      </c>
      <c r="B121" s="15">
        <v>45558</v>
      </c>
      <c r="C121" s="9">
        <v>61</v>
      </c>
      <c r="D121" s="9" t="s">
        <v>16</v>
      </c>
      <c r="E121" s="16">
        <v>597316</v>
      </c>
      <c r="F121" s="9">
        <v>584</v>
      </c>
      <c r="G121" s="16">
        <v>77360</v>
      </c>
      <c r="H121" s="17">
        <v>11</v>
      </c>
      <c r="I121" s="9">
        <v>12</v>
      </c>
      <c r="J121" s="9" t="s">
        <v>14</v>
      </c>
      <c r="K121" s="18">
        <v>0.56000000000000005</v>
      </c>
      <c r="L121" s="9" t="s">
        <v>18</v>
      </c>
      <c r="M121" s="9" t="s">
        <v>3</v>
      </c>
      <c r="N121" s="9">
        <v>0</v>
      </c>
      <c r="O121" s="9"/>
    </row>
    <row r="122" spans="1:15" x14ac:dyDescent="0.25">
      <c r="A122" s="10" t="s">
        <v>170</v>
      </c>
      <c r="B122" s="11">
        <v>45240</v>
      </c>
      <c r="C122" s="10">
        <v>46</v>
      </c>
      <c r="D122" s="10" t="s">
        <v>16</v>
      </c>
      <c r="E122" s="12">
        <v>954424</v>
      </c>
      <c r="F122" s="10">
        <v>399</v>
      </c>
      <c r="G122" s="12">
        <v>499210</v>
      </c>
      <c r="H122" s="13">
        <v>16</v>
      </c>
      <c r="I122" s="10">
        <v>24</v>
      </c>
      <c r="J122" s="10" t="s">
        <v>11</v>
      </c>
      <c r="K122" s="14">
        <v>0.38</v>
      </c>
      <c r="L122" s="10" t="s">
        <v>18</v>
      </c>
      <c r="M122" s="10" t="s">
        <v>2</v>
      </c>
      <c r="N122" s="10">
        <v>0</v>
      </c>
      <c r="O122" s="10"/>
    </row>
    <row r="123" spans="1:15" x14ac:dyDescent="0.25">
      <c r="A123" s="9" t="s">
        <v>171</v>
      </c>
      <c r="B123" s="15">
        <v>45616</v>
      </c>
      <c r="C123" s="9">
        <v>60</v>
      </c>
      <c r="D123" s="9" t="s">
        <v>16</v>
      </c>
      <c r="E123" s="16">
        <v>736626</v>
      </c>
      <c r="F123" s="9">
        <v>849</v>
      </c>
      <c r="G123" s="16">
        <v>170021</v>
      </c>
      <c r="H123" s="17">
        <v>23</v>
      </c>
      <c r="I123" s="9">
        <v>36</v>
      </c>
      <c r="J123" s="9" t="s">
        <v>12</v>
      </c>
      <c r="K123" s="18">
        <v>0.47</v>
      </c>
      <c r="L123" s="9" t="s">
        <v>20</v>
      </c>
      <c r="M123" s="9" t="s">
        <v>4</v>
      </c>
      <c r="N123" s="9">
        <v>0</v>
      </c>
      <c r="O123" s="9"/>
    </row>
    <row r="124" spans="1:15" x14ac:dyDescent="0.25">
      <c r="A124" s="10" t="s">
        <v>172</v>
      </c>
      <c r="B124" s="11">
        <v>45230</v>
      </c>
      <c r="C124" s="10">
        <v>62</v>
      </c>
      <c r="D124" s="10" t="s">
        <v>16</v>
      </c>
      <c r="E124" s="12">
        <v>839912</v>
      </c>
      <c r="F124" s="10">
        <v>343</v>
      </c>
      <c r="G124" s="12">
        <v>452894</v>
      </c>
      <c r="H124" s="13">
        <v>19</v>
      </c>
      <c r="I124" s="10">
        <v>12</v>
      </c>
      <c r="J124" s="10" t="s">
        <v>12</v>
      </c>
      <c r="K124" s="14">
        <v>0.2</v>
      </c>
      <c r="L124" s="10" t="s">
        <v>18</v>
      </c>
      <c r="M124" s="10" t="s">
        <v>3</v>
      </c>
      <c r="N124" s="10">
        <v>0</v>
      </c>
      <c r="O124" s="10"/>
    </row>
    <row r="125" spans="1:15" x14ac:dyDescent="0.25">
      <c r="A125" s="9" t="s">
        <v>173</v>
      </c>
      <c r="B125" s="15">
        <v>45993</v>
      </c>
      <c r="C125" s="9">
        <v>29</v>
      </c>
      <c r="D125" s="9" t="s">
        <v>9</v>
      </c>
      <c r="E125" s="16">
        <v>678155</v>
      </c>
      <c r="F125" s="9">
        <v>682</v>
      </c>
      <c r="G125" s="16">
        <v>77418</v>
      </c>
      <c r="H125" s="17">
        <v>10</v>
      </c>
      <c r="I125" s="9">
        <v>60</v>
      </c>
      <c r="J125" s="9" t="s">
        <v>12</v>
      </c>
      <c r="K125" s="18">
        <v>0.55000000000000004</v>
      </c>
      <c r="L125" s="9" t="s">
        <v>19</v>
      </c>
      <c r="M125" s="9" t="s">
        <v>3</v>
      </c>
      <c r="N125" s="9">
        <v>0</v>
      </c>
      <c r="O125" s="9"/>
    </row>
    <row r="126" spans="1:15" x14ac:dyDescent="0.25">
      <c r="A126" s="10" t="s">
        <v>174</v>
      </c>
      <c r="B126" s="11">
        <v>45163</v>
      </c>
      <c r="C126" s="10">
        <v>22</v>
      </c>
      <c r="D126" s="10" t="s">
        <v>9</v>
      </c>
      <c r="E126" s="12">
        <v>2191727</v>
      </c>
      <c r="F126" s="10">
        <v>569</v>
      </c>
      <c r="G126" s="12">
        <v>1937989</v>
      </c>
      <c r="H126" s="13">
        <v>7</v>
      </c>
      <c r="I126" s="10">
        <v>36</v>
      </c>
      <c r="J126" s="10" t="s">
        <v>9</v>
      </c>
      <c r="K126" s="14">
        <v>0.42</v>
      </c>
      <c r="L126" s="10" t="s">
        <v>20</v>
      </c>
      <c r="M126" s="10" t="s">
        <v>3</v>
      </c>
      <c r="N126" s="10">
        <v>1</v>
      </c>
      <c r="O126" s="10"/>
    </row>
    <row r="127" spans="1:15" x14ac:dyDescent="0.25">
      <c r="A127" s="9" t="s">
        <v>175</v>
      </c>
      <c r="B127" s="15">
        <v>45049</v>
      </c>
      <c r="C127" s="9">
        <v>43</v>
      </c>
      <c r="D127" s="9" t="s">
        <v>16</v>
      </c>
      <c r="E127" s="16">
        <v>1913129</v>
      </c>
      <c r="F127" s="9">
        <v>536</v>
      </c>
      <c r="G127" s="16">
        <v>252645</v>
      </c>
      <c r="H127" s="17">
        <v>9</v>
      </c>
      <c r="I127" s="9">
        <v>60</v>
      </c>
      <c r="J127" s="9" t="s">
        <v>14</v>
      </c>
      <c r="K127" s="18">
        <v>0.59</v>
      </c>
      <c r="L127" s="9" t="s">
        <v>22</v>
      </c>
      <c r="M127" s="9" t="s">
        <v>5</v>
      </c>
      <c r="N127" s="9">
        <v>1</v>
      </c>
      <c r="O127" s="9"/>
    </row>
    <row r="128" spans="1:15" x14ac:dyDescent="0.25">
      <c r="A128" s="10" t="s">
        <v>176</v>
      </c>
      <c r="B128" s="11">
        <v>45763</v>
      </c>
      <c r="C128" s="10">
        <v>32</v>
      </c>
      <c r="D128" s="10" t="s">
        <v>16</v>
      </c>
      <c r="E128" s="12">
        <v>2257655</v>
      </c>
      <c r="F128" s="10">
        <v>457</v>
      </c>
      <c r="G128" s="12">
        <v>1363564</v>
      </c>
      <c r="H128" s="13">
        <v>6</v>
      </c>
      <c r="I128" s="10">
        <v>12</v>
      </c>
      <c r="J128" s="10" t="s">
        <v>9</v>
      </c>
      <c r="K128" s="14">
        <v>0.22</v>
      </c>
      <c r="L128" s="10" t="s">
        <v>19</v>
      </c>
      <c r="M128" s="10" t="s">
        <v>4</v>
      </c>
      <c r="N128" s="10">
        <v>0</v>
      </c>
      <c r="O128" s="10"/>
    </row>
    <row r="129" spans="1:15" x14ac:dyDescent="0.25">
      <c r="A129" s="9" t="s">
        <v>177</v>
      </c>
      <c r="B129" s="15">
        <v>45788</v>
      </c>
      <c r="C129" s="9">
        <v>62</v>
      </c>
      <c r="D129" s="9" t="s">
        <v>9</v>
      </c>
      <c r="E129" s="16">
        <v>1730894</v>
      </c>
      <c r="F129" s="9">
        <v>523</v>
      </c>
      <c r="G129" s="16">
        <v>227350</v>
      </c>
      <c r="H129" s="17">
        <v>24</v>
      </c>
      <c r="I129" s="9">
        <v>12</v>
      </c>
      <c r="J129" s="9" t="s">
        <v>11</v>
      </c>
      <c r="K129" s="18">
        <v>0.33</v>
      </c>
      <c r="L129" s="9" t="s">
        <v>21</v>
      </c>
      <c r="M129" s="9" t="s">
        <v>4</v>
      </c>
      <c r="N129" s="9">
        <v>0</v>
      </c>
      <c r="O129" s="9"/>
    </row>
    <row r="130" spans="1:15" x14ac:dyDescent="0.25">
      <c r="A130" s="10" t="s">
        <v>178</v>
      </c>
      <c r="B130" s="11">
        <v>45497</v>
      </c>
      <c r="C130" s="10">
        <v>40</v>
      </c>
      <c r="D130" s="10" t="s">
        <v>9</v>
      </c>
      <c r="E130" s="12">
        <v>1437829</v>
      </c>
      <c r="F130" s="10">
        <v>798</v>
      </c>
      <c r="G130" s="12">
        <v>1878794</v>
      </c>
      <c r="H130" s="13">
        <v>11</v>
      </c>
      <c r="I130" s="10">
        <v>24</v>
      </c>
      <c r="J130" s="10" t="s">
        <v>10</v>
      </c>
      <c r="K130" s="14">
        <v>0.24</v>
      </c>
      <c r="L130" s="10" t="s">
        <v>21</v>
      </c>
      <c r="M130" s="10" t="s">
        <v>3</v>
      </c>
      <c r="N130" s="10">
        <v>0</v>
      </c>
      <c r="O130" s="10"/>
    </row>
    <row r="131" spans="1:15" x14ac:dyDescent="0.25">
      <c r="A131" s="9" t="s">
        <v>179</v>
      </c>
      <c r="B131" s="15">
        <v>45557</v>
      </c>
      <c r="C131" s="9">
        <v>45</v>
      </c>
      <c r="D131" s="9" t="s">
        <v>9</v>
      </c>
      <c r="E131" s="16">
        <v>1735544</v>
      </c>
      <c r="F131" s="9">
        <v>655</v>
      </c>
      <c r="G131" s="16">
        <v>286155</v>
      </c>
      <c r="H131" s="17">
        <v>8</v>
      </c>
      <c r="I131" s="9">
        <v>12</v>
      </c>
      <c r="J131" s="9" t="s">
        <v>11</v>
      </c>
      <c r="K131" s="18">
        <v>0.27</v>
      </c>
      <c r="L131" s="9" t="s">
        <v>19</v>
      </c>
      <c r="M131" s="9" t="s">
        <v>5</v>
      </c>
      <c r="N131" s="9">
        <v>0</v>
      </c>
      <c r="O131" s="9"/>
    </row>
    <row r="132" spans="1:15" x14ac:dyDescent="0.25">
      <c r="A132" s="10" t="s">
        <v>180</v>
      </c>
      <c r="B132" s="11">
        <v>45759</v>
      </c>
      <c r="C132" s="10">
        <v>63</v>
      </c>
      <c r="D132" s="10" t="s">
        <v>9</v>
      </c>
      <c r="E132" s="12">
        <v>292891</v>
      </c>
      <c r="F132" s="10">
        <v>614</v>
      </c>
      <c r="G132" s="12">
        <v>1723693</v>
      </c>
      <c r="H132" s="13">
        <v>7</v>
      </c>
      <c r="I132" s="10">
        <v>36</v>
      </c>
      <c r="J132" s="10" t="s">
        <v>13</v>
      </c>
      <c r="K132" s="14">
        <v>0.43</v>
      </c>
      <c r="L132" s="10" t="s">
        <v>22</v>
      </c>
      <c r="M132" s="10" t="s">
        <v>5</v>
      </c>
      <c r="N132" s="10">
        <v>0</v>
      </c>
      <c r="O132" s="10"/>
    </row>
    <row r="133" spans="1:15" x14ac:dyDescent="0.25">
      <c r="A133" s="9" t="s">
        <v>181</v>
      </c>
      <c r="B133" s="15">
        <v>45348</v>
      </c>
      <c r="C133" s="9">
        <v>40</v>
      </c>
      <c r="D133" s="9" t="s">
        <v>16</v>
      </c>
      <c r="E133" s="16">
        <v>355808</v>
      </c>
      <c r="F133" s="9">
        <v>583</v>
      </c>
      <c r="G133" s="16">
        <v>1335131</v>
      </c>
      <c r="H133" s="17">
        <v>20</v>
      </c>
      <c r="I133" s="9">
        <v>12</v>
      </c>
      <c r="J133" s="9" t="s">
        <v>13</v>
      </c>
      <c r="K133" s="18">
        <v>0.24</v>
      </c>
      <c r="L133" s="9" t="s">
        <v>19</v>
      </c>
      <c r="M133" s="9" t="s">
        <v>5</v>
      </c>
      <c r="N133" s="9">
        <v>0</v>
      </c>
      <c r="O133" s="9"/>
    </row>
    <row r="134" spans="1:15" x14ac:dyDescent="0.25">
      <c r="A134" s="10" t="s">
        <v>182</v>
      </c>
      <c r="B134" s="11">
        <v>45668</v>
      </c>
      <c r="C134" s="10">
        <v>42</v>
      </c>
      <c r="D134" s="10" t="s">
        <v>16</v>
      </c>
      <c r="E134" s="12">
        <v>671557</v>
      </c>
      <c r="F134" s="10">
        <v>420</v>
      </c>
      <c r="G134" s="12">
        <v>1269870</v>
      </c>
      <c r="H134" s="13">
        <v>20</v>
      </c>
      <c r="I134" s="10">
        <v>24</v>
      </c>
      <c r="J134" s="10" t="s">
        <v>12</v>
      </c>
      <c r="K134" s="14">
        <v>0.46</v>
      </c>
      <c r="L134" s="10" t="s">
        <v>19</v>
      </c>
      <c r="M134" s="10" t="s">
        <v>2</v>
      </c>
      <c r="N134" s="10">
        <v>1</v>
      </c>
      <c r="O134" s="10"/>
    </row>
    <row r="135" spans="1:15" x14ac:dyDescent="0.25">
      <c r="A135" s="9" t="s">
        <v>183</v>
      </c>
      <c r="B135" s="15">
        <v>45941</v>
      </c>
      <c r="C135" s="9">
        <v>37</v>
      </c>
      <c r="D135" s="9" t="s">
        <v>16</v>
      </c>
      <c r="E135" s="16">
        <v>682788</v>
      </c>
      <c r="F135" s="9">
        <v>848</v>
      </c>
      <c r="G135" s="16">
        <v>854800</v>
      </c>
      <c r="H135" s="17">
        <v>9</v>
      </c>
      <c r="I135" s="9">
        <v>24</v>
      </c>
      <c r="J135" s="9" t="s">
        <v>10</v>
      </c>
      <c r="K135" s="18">
        <v>0.25</v>
      </c>
      <c r="L135" s="9" t="s">
        <v>18</v>
      </c>
      <c r="M135" s="9" t="s">
        <v>4</v>
      </c>
      <c r="N135" s="9">
        <v>0</v>
      </c>
      <c r="O135" s="9"/>
    </row>
    <row r="136" spans="1:15" x14ac:dyDescent="0.25">
      <c r="A136" s="10" t="s">
        <v>184</v>
      </c>
      <c r="B136" s="11">
        <v>45227</v>
      </c>
      <c r="C136" s="10">
        <v>28</v>
      </c>
      <c r="D136" s="10" t="s">
        <v>17</v>
      </c>
      <c r="E136" s="12">
        <v>1635606</v>
      </c>
      <c r="F136" s="10">
        <v>469</v>
      </c>
      <c r="G136" s="12">
        <v>1132433</v>
      </c>
      <c r="H136" s="13">
        <v>24</v>
      </c>
      <c r="I136" s="10">
        <v>12</v>
      </c>
      <c r="J136" s="10" t="s">
        <v>10</v>
      </c>
      <c r="K136" s="14">
        <v>0.28000000000000003</v>
      </c>
      <c r="L136" s="10" t="s">
        <v>18</v>
      </c>
      <c r="M136" s="10" t="s">
        <v>3</v>
      </c>
      <c r="N136" s="10">
        <v>0</v>
      </c>
      <c r="O136" s="10"/>
    </row>
    <row r="137" spans="1:15" x14ac:dyDescent="0.25">
      <c r="A137" s="9" t="s">
        <v>185</v>
      </c>
      <c r="B137" s="15">
        <v>45995</v>
      </c>
      <c r="C137" s="9">
        <v>60</v>
      </c>
      <c r="D137" s="9" t="s">
        <v>17</v>
      </c>
      <c r="E137" s="16">
        <v>1933678</v>
      </c>
      <c r="F137" s="9">
        <v>513</v>
      </c>
      <c r="G137" s="16">
        <v>1516784</v>
      </c>
      <c r="H137" s="17">
        <v>24</v>
      </c>
      <c r="I137" s="9">
        <v>60</v>
      </c>
      <c r="J137" s="9" t="s">
        <v>11</v>
      </c>
      <c r="K137" s="18">
        <v>0.11</v>
      </c>
      <c r="L137" s="9" t="s">
        <v>19</v>
      </c>
      <c r="M137" s="9" t="s">
        <v>2</v>
      </c>
      <c r="N137" s="9">
        <v>1</v>
      </c>
      <c r="O137" s="9"/>
    </row>
    <row r="138" spans="1:15" x14ac:dyDescent="0.25">
      <c r="A138" s="10" t="s">
        <v>186</v>
      </c>
      <c r="B138" s="11">
        <v>45426</v>
      </c>
      <c r="C138" s="10">
        <v>56</v>
      </c>
      <c r="D138" s="10" t="s">
        <v>16</v>
      </c>
      <c r="E138" s="12">
        <v>2172374</v>
      </c>
      <c r="F138" s="10">
        <v>791</v>
      </c>
      <c r="G138" s="12">
        <v>623432</v>
      </c>
      <c r="H138" s="13">
        <v>18</v>
      </c>
      <c r="I138" s="10">
        <v>36</v>
      </c>
      <c r="J138" s="10" t="s">
        <v>9</v>
      </c>
      <c r="K138" s="14">
        <v>0.11</v>
      </c>
      <c r="L138" s="10" t="s">
        <v>18</v>
      </c>
      <c r="M138" s="10" t="s">
        <v>5</v>
      </c>
      <c r="N138" s="10">
        <v>0</v>
      </c>
      <c r="O138" s="10"/>
    </row>
    <row r="139" spans="1:15" x14ac:dyDescent="0.25">
      <c r="A139" s="9" t="s">
        <v>187</v>
      </c>
      <c r="B139" s="15">
        <v>45213</v>
      </c>
      <c r="C139" s="9">
        <v>47</v>
      </c>
      <c r="D139" s="9" t="s">
        <v>16</v>
      </c>
      <c r="E139" s="16">
        <v>823313</v>
      </c>
      <c r="F139" s="9">
        <v>370</v>
      </c>
      <c r="G139" s="16">
        <v>1107137</v>
      </c>
      <c r="H139" s="17">
        <v>23</v>
      </c>
      <c r="I139" s="9">
        <v>12</v>
      </c>
      <c r="J139" s="9" t="s">
        <v>11</v>
      </c>
      <c r="K139" s="18">
        <v>0.6</v>
      </c>
      <c r="L139" s="9" t="s">
        <v>21</v>
      </c>
      <c r="M139" s="9" t="s">
        <v>3</v>
      </c>
      <c r="N139" s="9">
        <v>0</v>
      </c>
      <c r="O139" s="9"/>
    </row>
    <row r="140" spans="1:15" x14ac:dyDescent="0.25">
      <c r="A140" s="10" t="s">
        <v>188</v>
      </c>
      <c r="B140" s="11">
        <v>45327</v>
      </c>
      <c r="C140" s="10">
        <v>22</v>
      </c>
      <c r="D140" s="10" t="s">
        <v>16</v>
      </c>
      <c r="E140" s="12">
        <v>283741</v>
      </c>
      <c r="F140" s="10">
        <v>780</v>
      </c>
      <c r="G140" s="12">
        <v>1165828</v>
      </c>
      <c r="H140" s="13">
        <v>23</v>
      </c>
      <c r="I140" s="10">
        <v>12</v>
      </c>
      <c r="J140" s="10" t="s">
        <v>14</v>
      </c>
      <c r="K140" s="14">
        <v>0.33</v>
      </c>
      <c r="L140" s="10" t="s">
        <v>22</v>
      </c>
      <c r="M140" s="10" t="s">
        <v>3</v>
      </c>
      <c r="N140" s="10">
        <v>0</v>
      </c>
      <c r="O140" s="10"/>
    </row>
    <row r="141" spans="1:15" x14ac:dyDescent="0.25">
      <c r="A141" s="9" t="s">
        <v>189</v>
      </c>
      <c r="B141" s="15">
        <v>45755</v>
      </c>
      <c r="C141" s="9">
        <v>38</v>
      </c>
      <c r="D141" s="9" t="s">
        <v>9</v>
      </c>
      <c r="E141" s="16">
        <v>980943</v>
      </c>
      <c r="F141" s="9">
        <v>457</v>
      </c>
      <c r="G141" s="16">
        <v>838261</v>
      </c>
      <c r="H141" s="17">
        <v>12</v>
      </c>
      <c r="I141" s="9">
        <v>36</v>
      </c>
      <c r="J141" s="9" t="s">
        <v>14</v>
      </c>
      <c r="K141" s="18">
        <v>0.6</v>
      </c>
      <c r="L141" s="9" t="s">
        <v>21</v>
      </c>
      <c r="M141" s="9" t="s">
        <v>3</v>
      </c>
      <c r="N141" s="9">
        <v>1</v>
      </c>
      <c r="O141" s="9"/>
    </row>
    <row r="142" spans="1:15" x14ac:dyDescent="0.25">
      <c r="A142" s="10" t="s">
        <v>190</v>
      </c>
      <c r="B142" s="11">
        <v>45051</v>
      </c>
      <c r="C142" s="10">
        <v>60</v>
      </c>
      <c r="D142" s="10" t="s">
        <v>17</v>
      </c>
      <c r="E142" s="12">
        <v>1991410</v>
      </c>
      <c r="F142" s="10">
        <v>753</v>
      </c>
      <c r="G142" s="12">
        <v>1317762</v>
      </c>
      <c r="H142" s="13">
        <v>9</v>
      </c>
      <c r="I142" s="10">
        <v>60</v>
      </c>
      <c r="J142" s="10" t="s">
        <v>14</v>
      </c>
      <c r="K142" s="14">
        <v>0.15</v>
      </c>
      <c r="L142" s="10" t="s">
        <v>18</v>
      </c>
      <c r="M142" s="10" t="s">
        <v>2</v>
      </c>
      <c r="N142" s="10">
        <v>0</v>
      </c>
      <c r="O142" s="10"/>
    </row>
    <row r="143" spans="1:15" x14ac:dyDescent="0.25">
      <c r="A143" s="9" t="s">
        <v>191</v>
      </c>
      <c r="B143" s="15">
        <v>45422</v>
      </c>
      <c r="C143" s="9">
        <v>30</v>
      </c>
      <c r="D143" s="9" t="s">
        <v>9</v>
      </c>
      <c r="E143" s="16">
        <v>1033597</v>
      </c>
      <c r="F143" s="9">
        <v>742</v>
      </c>
      <c r="G143" s="16">
        <v>857478</v>
      </c>
      <c r="H143" s="17">
        <v>15</v>
      </c>
      <c r="I143" s="9">
        <v>24</v>
      </c>
      <c r="J143" s="9" t="s">
        <v>13</v>
      </c>
      <c r="K143" s="18">
        <v>0.51</v>
      </c>
      <c r="L143" s="9" t="s">
        <v>20</v>
      </c>
      <c r="M143" s="9" t="s">
        <v>5</v>
      </c>
      <c r="N143" s="9">
        <v>0</v>
      </c>
      <c r="O143" s="9"/>
    </row>
    <row r="144" spans="1:15" x14ac:dyDescent="0.25">
      <c r="A144" s="10" t="s">
        <v>192</v>
      </c>
      <c r="B144" s="11">
        <v>45996</v>
      </c>
      <c r="C144" s="10">
        <v>56</v>
      </c>
      <c r="D144" s="10" t="s">
        <v>9</v>
      </c>
      <c r="E144" s="12">
        <v>1204896</v>
      </c>
      <c r="F144" s="10">
        <v>531</v>
      </c>
      <c r="G144" s="12">
        <v>1691657</v>
      </c>
      <c r="H144" s="13">
        <v>13</v>
      </c>
      <c r="I144" s="10">
        <v>12</v>
      </c>
      <c r="J144" s="10" t="s">
        <v>12</v>
      </c>
      <c r="K144" s="14">
        <v>0.27</v>
      </c>
      <c r="L144" s="10" t="s">
        <v>21</v>
      </c>
      <c r="M144" s="10" t="s">
        <v>5</v>
      </c>
      <c r="N144" s="10">
        <v>0</v>
      </c>
      <c r="O144" s="10"/>
    </row>
    <row r="145" spans="1:15" x14ac:dyDescent="0.25">
      <c r="A145" s="9" t="s">
        <v>193</v>
      </c>
      <c r="B145" s="15">
        <v>45301</v>
      </c>
      <c r="C145" s="9">
        <v>63</v>
      </c>
      <c r="D145" s="9" t="s">
        <v>16</v>
      </c>
      <c r="E145" s="16">
        <v>927339</v>
      </c>
      <c r="F145" s="9">
        <v>481</v>
      </c>
      <c r="G145" s="16">
        <v>768098</v>
      </c>
      <c r="H145" s="17">
        <v>7</v>
      </c>
      <c r="I145" s="9">
        <v>12</v>
      </c>
      <c r="J145" s="9" t="s">
        <v>13</v>
      </c>
      <c r="K145" s="18">
        <v>0.56999999999999995</v>
      </c>
      <c r="L145" s="9" t="s">
        <v>20</v>
      </c>
      <c r="M145" s="9" t="s">
        <v>5</v>
      </c>
      <c r="N145" s="9">
        <v>0</v>
      </c>
      <c r="O145" s="9"/>
    </row>
    <row r="146" spans="1:15" x14ac:dyDescent="0.25">
      <c r="A146" s="10" t="s">
        <v>194</v>
      </c>
      <c r="B146" s="11">
        <v>45936</v>
      </c>
      <c r="C146" s="10">
        <v>32</v>
      </c>
      <c r="D146" s="10" t="s">
        <v>9</v>
      </c>
      <c r="E146" s="12">
        <v>1123246</v>
      </c>
      <c r="F146" s="10">
        <v>380</v>
      </c>
      <c r="G146" s="12">
        <v>1377724</v>
      </c>
      <c r="H146" s="13">
        <v>17</v>
      </c>
      <c r="I146" s="10">
        <v>12</v>
      </c>
      <c r="J146" s="10" t="s">
        <v>11</v>
      </c>
      <c r="K146" s="14">
        <v>0.52</v>
      </c>
      <c r="L146" s="10" t="s">
        <v>20</v>
      </c>
      <c r="M146" s="10" t="s">
        <v>4</v>
      </c>
      <c r="N146" s="10">
        <v>1</v>
      </c>
      <c r="O146" s="10"/>
    </row>
    <row r="147" spans="1:15" x14ac:dyDescent="0.25">
      <c r="A147" s="9" t="s">
        <v>195</v>
      </c>
      <c r="B147" s="15">
        <v>45903</v>
      </c>
      <c r="C147" s="9">
        <v>21</v>
      </c>
      <c r="D147" s="9" t="s">
        <v>16</v>
      </c>
      <c r="E147" s="16">
        <v>1504868</v>
      </c>
      <c r="F147" s="9">
        <v>363</v>
      </c>
      <c r="G147" s="16">
        <v>1075236</v>
      </c>
      <c r="H147" s="17">
        <v>16</v>
      </c>
      <c r="I147" s="9">
        <v>24</v>
      </c>
      <c r="J147" s="9" t="s">
        <v>9</v>
      </c>
      <c r="K147" s="18">
        <v>0.22</v>
      </c>
      <c r="L147" s="9" t="s">
        <v>20</v>
      </c>
      <c r="M147" s="9" t="s">
        <v>4</v>
      </c>
      <c r="N147" s="9">
        <v>0</v>
      </c>
      <c r="O147" s="9"/>
    </row>
    <row r="148" spans="1:15" x14ac:dyDescent="0.25">
      <c r="A148" s="10" t="s">
        <v>196</v>
      </c>
      <c r="B148" s="11">
        <v>45300</v>
      </c>
      <c r="C148" s="10">
        <v>26</v>
      </c>
      <c r="D148" s="10" t="s">
        <v>9</v>
      </c>
      <c r="E148" s="12">
        <v>1637964</v>
      </c>
      <c r="F148" s="10">
        <v>426</v>
      </c>
      <c r="G148" s="12">
        <v>52258</v>
      </c>
      <c r="H148" s="13">
        <v>23</v>
      </c>
      <c r="I148" s="10">
        <v>60</v>
      </c>
      <c r="J148" s="10" t="s">
        <v>11</v>
      </c>
      <c r="K148" s="14">
        <v>0.49</v>
      </c>
      <c r="L148" s="10" t="s">
        <v>19</v>
      </c>
      <c r="M148" s="10" t="s">
        <v>2</v>
      </c>
      <c r="N148" s="10">
        <v>0</v>
      </c>
      <c r="O148" s="10"/>
    </row>
    <row r="149" spans="1:15" x14ac:dyDescent="0.25">
      <c r="A149" s="9" t="s">
        <v>197</v>
      </c>
      <c r="B149" s="15">
        <v>45918</v>
      </c>
      <c r="C149" s="9">
        <v>34</v>
      </c>
      <c r="D149" s="9" t="s">
        <v>9</v>
      </c>
      <c r="E149" s="16">
        <v>338841</v>
      </c>
      <c r="F149" s="9">
        <v>338</v>
      </c>
      <c r="G149" s="16">
        <v>154183</v>
      </c>
      <c r="H149" s="17">
        <v>18</v>
      </c>
      <c r="I149" s="9">
        <v>24</v>
      </c>
      <c r="J149" s="9" t="s">
        <v>14</v>
      </c>
      <c r="K149" s="18">
        <v>0.32</v>
      </c>
      <c r="L149" s="9" t="s">
        <v>22</v>
      </c>
      <c r="M149" s="9" t="s">
        <v>4</v>
      </c>
      <c r="N149" s="9">
        <v>0</v>
      </c>
      <c r="O149" s="9"/>
    </row>
    <row r="150" spans="1:15" x14ac:dyDescent="0.25">
      <c r="A150" s="10" t="s">
        <v>198</v>
      </c>
      <c r="B150" s="11">
        <v>45431</v>
      </c>
      <c r="C150" s="10">
        <v>55</v>
      </c>
      <c r="D150" s="10" t="s">
        <v>17</v>
      </c>
      <c r="E150" s="12">
        <v>383729</v>
      </c>
      <c r="F150" s="10">
        <v>441</v>
      </c>
      <c r="G150" s="12">
        <v>377720</v>
      </c>
      <c r="H150" s="13">
        <v>17</v>
      </c>
      <c r="I150" s="10">
        <v>24</v>
      </c>
      <c r="J150" s="10" t="s">
        <v>9</v>
      </c>
      <c r="K150" s="14">
        <v>0.34</v>
      </c>
      <c r="L150" s="10" t="s">
        <v>22</v>
      </c>
      <c r="M150" s="10" t="s">
        <v>4</v>
      </c>
      <c r="N150" s="10">
        <v>0</v>
      </c>
      <c r="O150" s="10"/>
    </row>
    <row r="151" spans="1:15" x14ac:dyDescent="0.25">
      <c r="A151" s="9" t="s">
        <v>199</v>
      </c>
      <c r="B151" s="15">
        <v>45020</v>
      </c>
      <c r="C151" s="9">
        <v>39</v>
      </c>
      <c r="D151" s="9" t="s">
        <v>9</v>
      </c>
      <c r="E151" s="16">
        <v>300551</v>
      </c>
      <c r="F151" s="9">
        <v>708</v>
      </c>
      <c r="G151" s="16">
        <v>390890</v>
      </c>
      <c r="H151" s="17">
        <v>10</v>
      </c>
      <c r="I151" s="9">
        <v>12</v>
      </c>
      <c r="J151" s="9" t="s">
        <v>13</v>
      </c>
      <c r="K151" s="18">
        <v>0.2</v>
      </c>
      <c r="L151" s="9" t="s">
        <v>21</v>
      </c>
      <c r="M151" s="9" t="s">
        <v>4</v>
      </c>
      <c r="N151" s="9">
        <v>0</v>
      </c>
      <c r="O151" s="9"/>
    </row>
    <row r="152" spans="1:15" x14ac:dyDescent="0.25">
      <c r="A152" s="10" t="s">
        <v>200</v>
      </c>
      <c r="B152" s="11">
        <v>45963</v>
      </c>
      <c r="C152" s="10">
        <v>49</v>
      </c>
      <c r="D152" s="10" t="s">
        <v>9</v>
      </c>
      <c r="E152" s="12">
        <v>341717</v>
      </c>
      <c r="F152" s="10">
        <v>655</v>
      </c>
      <c r="G152" s="12">
        <v>1022602</v>
      </c>
      <c r="H152" s="13">
        <v>24</v>
      </c>
      <c r="I152" s="10">
        <v>36</v>
      </c>
      <c r="J152" s="10" t="s">
        <v>14</v>
      </c>
      <c r="K152" s="14">
        <v>0.46</v>
      </c>
      <c r="L152" s="10" t="s">
        <v>22</v>
      </c>
      <c r="M152" s="10" t="s">
        <v>2</v>
      </c>
      <c r="N152" s="10">
        <v>0</v>
      </c>
      <c r="O152" s="10"/>
    </row>
    <row r="153" spans="1:15" x14ac:dyDescent="0.25">
      <c r="A153" s="9" t="s">
        <v>201</v>
      </c>
      <c r="B153" s="15">
        <v>45158</v>
      </c>
      <c r="C153" s="9">
        <v>40</v>
      </c>
      <c r="D153" s="9" t="s">
        <v>17</v>
      </c>
      <c r="E153" s="16">
        <v>1092899</v>
      </c>
      <c r="F153" s="9">
        <v>791</v>
      </c>
      <c r="G153" s="16">
        <v>546984</v>
      </c>
      <c r="H153" s="17">
        <v>24</v>
      </c>
      <c r="I153" s="9">
        <v>60</v>
      </c>
      <c r="J153" s="9" t="s">
        <v>11</v>
      </c>
      <c r="K153" s="18">
        <v>0.52</v>
      </c>
      <c r="L153" s="9" t="s">
        <v>18</v>
      </c>
      <c r="M153" s="9" t="s">
        <v>3</v>
      </c>
      <c r="N153" s="9">
        <v>0</v>
      </c>
      <c r="O153" s="9"/>
    </row>
    <row r="154" spans="1:15" x14ac:dyDescent="0.25">
      <c r="A154" s="10" t="s">
        <v>202</v>
      </c>
      <c r="B154" s="11">
        <v>45624</v>
      </c>
      <c r="C154" s="10">
        <v>22</v>
      </c>
      <c r="D154" s="10" t="s">
        <v>16</v>
      </c>
      <c r="E154" s="12">
        <v>889753</v>
      </c>
      <c r="F154" s="10">
        <v>829</v>
      </c>
      <c r="G154" s="12">
        <v>1328093</v>
      </c>
      <c r="H154" s="13">
        <v>24</v>
      </c>
      <c r="I154" s="10">
        <v>24</v>
      </c>
      <c r="J154" s="10" t="s">
        <v>9</v>
      </c>
      <c r="K154" s="14">
        <v>0.36</v>
      </c>
      <c r="L154" s="10" t="s">
        <v>20</v>
      </c>
      <c r="M154" s="10" t="s">
        <v>2</v>
      </c>
      <c r="N154" s="10">
        <v>0</v>
      </c>
      <c r="O154" s="10"/>
    </row>
    <row r="155" spans="1:15" x14ac:dyDescent="0.25">
      <c r="A155" s="9" t="s">
        <v>203</v>
      </c>
      <c r="B155" s="15">
        <v>45388</v>
      </c>
      <c r="C155" s="9">
        <v>41</v>
      </c>
      <c r="D155" s="9" t="s">
        <v>16</v>
      </c>
      <c r="E155" s="16">
        <v>973025</v>
      </c>
      <c r="F155" s="9">
        <v>546</v>
      </c>
      <c r="G155" s="16">
        <v>722712</v>
      </c>
      <c r="H155" s="17">
        <v>22</v>
      </c>
      <c r="I155" s="9">
        <v>12</v>
      </c>
      <c r="J155" s="9" t="s">
        <v>11</v>
      </c>
      <c r="K155" s="18">
        <v>0.38</v>
      </c>
      <c r="L155" s="9" t="s">
        <v>20</v>
      </c>
      <c r="M155" s="9" t="s">
        <v>2</v>
      </c>
      <c r="N155" s="9">
        <v>0</v>
      </c>
      <c r="O155" s="9"/>
    </row>
    <row r="156" spans="1:15" x14ac:dyDescent="0.25">
      <c r="A156" s="10" t="s">
        <v>204</v>
      </c>
      <c r="B156" s="11">
        <v>45922</v>
      </c>
      <c r="C156" s="10">
        <v>41</v>
      </c>
      <c r="D156" s="10" t="s">
        <v>9</v>
      </c>
      <c r="E156" s="12">
        <v>2380607</v>
      </c>
      <c r="F156" s="10">
        <v>354</v>
      </c>
      <c r="G156" s="12">
        <v>681720</v>
      </c>
      <c r="H156" s="13">
        <v>12</v>
      </c>
      <c r="I156" s="10">
        <v>12</v>
      </c>
      <c r="J156" s="10" t="s">
        <v>10</v>
      </c>
      <c r="K156" s="14">
        <v>0.53</v>
      </c>
      <c r="L156" s="10" t="s">
        <v>18</v>
      </c>
      <c r="M156" s="10" t="s">
        <v>2</v>
      </c>
      <c r="N156" s="10">
        <v>0</v>
      </c>
      <c r="O156" s="10"/>
    </row>
    <row r="157" spans="1:15" x14ac:dyDescent="0.25">
      <c r="A157" s="9" t="s">
        <v>205</v>
      </c>
      <c r="B157" s="15">
        <v>45573</v>
      </c>
      <c r="C157" s="9">
        <v>38</v>
      </c>
      <c r="D157" s="9" t="s">
        <v>16</v>
      </c>
      <c r="E157" s="16">
        <v>1369242</v>
      </c>
      <c r="F157" s="9">
        <v>617</v>
      </c>
      <c r="G157" s="16">
        <v>88941</v>
      </c>
      <c r="H157" s="17">
        <v>13</v>
      </c>
      <c r="I157" s="9">
        <v>24</v>
      </c>
      <c r="J157" s="9" t="s">
        <v>10</v>
      </c>
      <c r="K157" s="18">
        <v>0.56999999999999995</v>
      </c>
      <c r="L157" s="9" t="s">
        <v>19</v>
      </c>
      <c r="M157" s="9" t="s">
        <v>5</v>
      </c>
      <c r="N157" s="9">
        <v>0</v>
      </c>
      <c r="O157" s="9"/>
    </row>
    <row r="158" spans="1:15" x14ac:dyDescent="0.25">
      <c r="A158" s="10" t="s">
        <v>206</v>
      </c>
      <c r="B158" s="11">
        <v>45347</v>
      </c>
      <c r="C158" s="10">
        <v>48</v>
      </c>
      <c r="D158" s="10" t="s">
        <v>17</v>
      </c>
      <c r="E158" s="12">
        <v>1660198</v>
      </c>
      <c r="F158" s="10">
        <v>468</v>
      </c>
      <c r="G158" s="12">
        <v>444014</v>
      </c>
      <c r="H158" s="13">
        <v>20</v>
      </c>
      <c r="I158" s="10">
        <v>36</v>
      </c>
      <c r="J158" s="10" t="s">
        <v>12</v>
      </c>
      <c r="K158" s="14">
        <v>0.23</v>
      </c>
      <c r="L158" s="10" t="s">
        <v>19</v>
      </c>
      <c r="M158" s="10" t="s">
        <v>5</v>
      </c>
      <c r="N158" s="10">
        <v>0</v>
      </c>
      <c r="O158" s="10"/>
    </row>
    <row r="159" spans="1:15" x14ac:dyDescent="0.25">
      <c r="A159" s="9" t="s">
        <v>207</v>
      </c>
      <c r="B159" s="15">
        <v>45777</v>
      </c>
      <c r="C159" s="9">
        <v>28</v>
      </c>
      <c r="D159" s="9" t="s">
        <v>9</v>
      </c>
      <c r="E159" s="16">
        <v>571937</v>
      </c>
      <c r="F159" s="9">
        <v>733</v>
      </c>
      <c r="G159" s="16">
        <v>1681313</v>
      </c>
      <c r="H159" s="17">
        <v>20</v>
      </c>
      <c r="I159" s="9">
        <v>36</v>
      </c>
      <c r="J159" s="9" t="s">
        <v>14</v>
      </c>
      <c r="K159" s="18">
        <v>0.22</v>
      </c>
      <c r="L159" s="9" t="s">
        <v>20</v>
      </c>
      <c r="M159" s="9" t="s">
        <v>5</v>
      </c>
      <c r="N159" s="9">
        <v>0</v>
      </c>
      <c r="O159" s="9"/>
    </row>
    <row r="160" spans="1:15" x14ac:dyDescent="0.25">
      <c r="A160" s="10" t="s">
        <v>208</v>
      </c>
      <c r="B160" s="11">
        <v>45571</v>
      </c>
      <c r="C160" s="10">
        <v>59</v>
      </c>
      <c r="D160" s="10" t="s">
        <v>16</v>
      </c>
      <c r="E160" s="12">
        <v>1354521</v>
      </c>
      <c r="F160" s="10">
        <v>426</v>
      </c>
      <c r="G160" s="12">
        <v>1770038</v>
      </c>
      <c r="H160" s="13">
        <v>6</v>
      </c>
      <c r="I160" s="10">
        <v>12</v>
      </c>
      <c r="J160" s="10" t="s">
        <v>11</v>
      </c>
      <c r="K160" s="14">
        <v>0.3</v>
      </c>
      <c r="L160" s="10" t="s">
        <v>20</v>
      </c>
      <c r="M160" s="10" t="s">
        <v>3</v>
      </c>
      <c r="N160" s="10">
        <v>1</v>
      </c>
      <c r="O160" s="10"/>
    </row>
    <row r="161" spans="1:15" x14ac:dyDescent="0.25">
      <c r="A161" s="9" t="s">
        <v>209</v>
      </c>
      <c r="B161" s="15">
        <v>44974</v>
      </c>
      <c r="C161" s="9">
        <v>62</v>
      </c>
      <c r="D161" s="9" t="s">
        <v>17</v>
      </c>
      <c r="E161" s="16">
        <v>575901</v>
      </c>
      <c r="F161" s="9">
        <v>511</v>
      </c>
      <c r="G161" s="16">
        <v>860186</v>
      </c>
      <c r="H161" s="17">
        <v>9</v>
      </c>
      <c r="I161" s="9">
        <v>12</v>
      </c>
      <c r="J161" s="9" t="s">
        <v>12</v>
      </c>
      <c r="K161" s="18">
        <v>0.5</v>
      </c>
      <c r="L161" s="9" t="s">
        <v>21</v>
      </c>
      <c r="M161" s="9" t="s">
        <v>2</v>
      </c>
      <c r="N161" s="9">
        <v>1</v>
      </c>
      <c r="O161" s="9"/>
    </row>
    <row r="162" spans="1:15" x14ac:dyDescent="0.25">
      <c r="A162" s="10" t="s">
        <v>210</v>
      </c>
      <c r="B162" s="11">
        <v>45167</v>
      </c>
      <c r="C162" s="10">
        <v>44</v>
      </c>
      <c r="D162" s="10" t="s">
        <v>17</v>
      </c>
      <c r="E162" s="12">
        <v>1212359</v>
      </c>
      <c r="F162" s="10">
        <v>633</v>
      </c>
      <c r="G162" s="12">
        <v>358019</v>
      </c>
      <c r="H162" s="13">
        <v>11</v>
      </c>
      <c r="I162" s="10">
        <v>36</v>
      </c>
      <c r="J162" s="10" t="s">
        <v>13</v>
      </c>
      <c r="K162" s="14">
        <v>0.56000000000000005</v>
      </c>
      <c r="L162" s="10" t="s">
        <v>19</v>
      </c>
      <c r="M162" s="10" t="s">
        <v>4</v>
      </c>
      <c r="N162" s="10">
        <v>0</v>
      </c>
      <c r="O162" s="10"/>
    </row>
    <row r="163" spans="1:15" x14ac:dyDescent="0.25">
      <c r="A163" s="9" t="s">
        <v>211</v>
      </c>
      <c r="B163" s="15">
        <v>45426</v>
      </c>
      <c r="C163" s="9">
        <v>56</v>
      </c>
      <c r="D163" s="9" t="s">
        <v>9</v>
      </c>
      <c r="E163" s="16">
        <v>1345379</v>
      </c>
      <c r="F163" s="9">
        <v>720</v>
      </c>
      <c r="G163" s="16">
        <v>912530</v>
      </c>
      <c r="H163" s="17">
        <v>21</v>
      </c>
      <c r="I163" s="9">
        <v>60</v>
      </c>
      <c r="J163" s="9" t="s">
        <v>9</v>
      </c>
      <c r="K163" s="18">
        <v>0.19</v>
      </c>
      <c r="L163" s="9" t="s">
        <v>18</v>
      </c>
      <c r="M163" s="9" t="s">
        <v>3</v>
      </c>
      <c r="N163" s="9">
        <v>0</v>
      </c>
      <c r="O163" s="9"/>
    </row>
    <row r="164" spans="1:15" x14ac:dyDescent="0.25">
      <c r="A164" s="10" t="s">
        <v>212</v>
      </c>
      <c r="B164" s="11">
        <v>45760</v>
      </c>
      <c r="C164" s="10">
        <v>22</v>
      </c>
      <c r="D164" s="10" t="s">
        <v>16</v>
      </c>
      <c r="E164" s="12">
        <v>1394639</v>
      </c>
      <c r="F164" s="10">
        <v>372</v>
      </c>
      <c r="G164" s="12">
        <v>1692656</v>
      </c>
      <c r="H164" s="13">
        <v>14</v>
      </c>
      <c r="I164" s="10">
        <v>24</v>
      </c>
      <c r="J164" s="10" t="s">
        <v>14</v>
      </c>
      <c r="K164" s="14">
        <v>0.42</v>
      </c>
      <c r="L164" s="10" t="s">
        <v>22</v>
      </c>
      <c r="M164" s="10" t="s">
        <v>4</v>
      </c>
      <c r="N164" s="10">
        <v>1</v>
      </c>
      <c r="O164" s="10"/>
    </row>
    <row r="165" spans="1:15" x14ac:dyDescent="0.25">
      <c r="A165" s="9" t="s">
        <v>213</v>
      </c>
      <c r="B165" s="15">
        <v>45034</v>
      </c>
      <c r="C165" s="9">
        <v>43</v>
      </c>
      <c r="D165" s="9" t="s">
        <v>9</v>
      </c>
      <c r="E165" s="16">
        <v>1815760</v>
      </c>
      <c r="F165" s="9">
        <v>578</v>
      </c>
      <c r="G165" s="16">
        <v>1576467</v>
      </c>
      <c r="H165" s="17">
        <v>11</v>
      </c>
      <c r="I165" s="9">
        <v>12</v>
      </c>
      <c r="J165" s="9" t="s">
        <v>9</v>
      </c>
      <c r="K165" s="18">
        <v>0.28000000000000003</v>
      </c>
      <c r="L165" s="9" t="s">
        <v>18</v>
      </c>
      <c r="M165" s="9" t="s">
        <v>4</v>
      </c>
      <c r="N165" s="9">
        <v>1</v>
      </c>
      <c r="O165" s="9"/>
    </row>
    <row r="166" spans="1:15" x14ac:dyDescent="0.25">
      <c r="A166" s="10" t="s">
        <v>214</v>
      </c>
      <c r="B166" s="11">
        <v>45081</v>
      </c>
      <c r="C166" s="10">
        <v>32</v>
      </c>
      <c r="D166" s="10" t="s">
        <v>16</v>
      </c>
      <c r="E166" s="12">
        <v>549497</v>
      </c>
      <c r="F166" s="10">
        <v>508</v>
      </c>
      <c r="G166" s="12">
        <v>526375</v>
      </c>
      <c r="H166" s="13">
        <v>20</v>
      </c>
      <c r="I166" s="10">
        <v>24</v>
      </c>
      <c r="J166" s="10" t="s">
        <v>9</v>
      </c>
      <c r="K166" s="14">
        <v>0.23</v>
      </c>
      <c r="L166" s="10" t="s">
        <v>18</v>
      </c>
      <c r="M166" s="10" t="s">
        <v>2</v>
      </c>
      <c r="N166" s="10">
        <v>0</v>
      </c>
      <c r="O166" s="10"/>
    </row>
    <row r="167" spans="1:15" x14ac:dyDescent="0.25">
      <c r="A167" s="9" t="s">
        <v>215</v>
      </c>
      <c r="B167" s="15">
        <v>44990</v>
      </c>
      <c r="C167" s="9">
        <v>39</v>
      </c>
      <c r="D167" s="9" t="s">
        <v>17</v>
      </c>
      <c r="E167" s="16">
        <v>2045890</v>
      </c>
      <c r="F167" s="9">
        <v>609</v>
      </c>
      <c r="G167" s="16">
        <v>779100</v>
      </c>
      <c r="H167" s="17">
        <v>24</v>
      </c>
      <c r="I167" s="9">
        <v>12</v>
      </c>
      <c r="J167" s="9" t="s">
        <v>9</v>
      </c>
      <c r="K167" s="18">
        <v>0.11</v>
      </c>
      <c r="L167" s="9" t="s">
        <v>20</v>
      </c>
      <c r="M167" s="9" t="s">
        <v>2</v>
      </c>
      <c r="N167" s="9">
        <v>0</v>
      </c>
      <c r="O167" s="9"/>
    </row>
    <row r="168" spans="1:15" x14ac:dyDescent="0.25">
      <c r="A168" s="10" t="s">
        <v>216</v>
      </c>
      <c r="B168" s="11">
        <v>45641</v>
      </c>
      <c r="C168" s="10">
        <v>65</v>
      </c>
      <c r="D168" s="10" t="s">
        <v>16</v>
      </c>
      <c r="E168" s="12">
        <v>1665674</v>
      </c>
      <c r="F168" s="10">
        <v>406</v>
      </c>
      <c r="G168" s="12">
        <v>1417858</v>
      </c>
      <c r="H168" s="13">
        <v>16</v>
      </c>
      <c r="I168" s="10">
        <v>24</v>
      </c>
      <c r="J168" s="10" t="s">
        <v>12</v>
      </c>
      <c r="K168" s="14">
        <v>0.28999999999999998</v>
      </c>
      <c r="L168" s="10" t="s">
        <v>20</v>
      </c>
      <c r="M168" s="10" t="s">
        <v>5</v>
      </c>
      <c r="N168" s="10">
        <v>0</v>
      </c>
      <c r="O168" s="10"/>
    </row>
    <row r="169" spans="1:15" x14ac:dyDescent="0.25">
      <c r="A169" s="9" t="s">
        <v>217</v>
      </c>
      <c r="B169" s="15">
        <v>45440</v>
      </c>
      <c r="C169" s="9">
        <v>40</v>
      </c>
      <c r="D169" s="9" t="s">
        <v>9</v>
      </c>
      <c r="E169" s="16">
        <v>967542</v>
      </c>
      <c r="F169" s="9">
        <v>497</v>
      </c>
      <c r="G169" s="16">
        <v>1198626</v>
      </c>
      <c r="H169" s="17">
        <v>13</v>
      </c>
      <c r="I169" s="9">
        <v>36</v>
      </c>
      <c r="J169" s="9" t="s">
        <v>9</v>
      </c>
      <c r="K169" s="18">
        <v>0.11</v>
      </c>
      <c r="L169" s="9" t="s">
        <v>19</v>
      </c>
      <c r="M169" s="9" t="s">
        <v>2</v>
      </c>
      <c r="N169" s="9">
        <v>0</v>
      </c>
      <c r="O169" s="9"/>
    </row>
    <row r="170" spans="1:15" x14ac:dyDescent="0.25">
      <c r="A170" s="10" t="s">
        <v>218</v>
      </c>
      <c r="B170" s="11">
        <v>45555</v>
      </c>
      <c r="C170" s="10">
        <v>34</v>
      </c>
      <c r="D170" s="10" t="s">
        <v>16</v>
      </c>
      <c r="E170" s="12">
        <v>1512888</v>
      </c>
      <c r="F170" s="10">
        <v>335</v>
      </c>
      <c r="G170" s="12">
        <v>945039</v>
      </c>
      <c r="H170" s="13">
        <v>9</v>
      </c>
      <c r="I170" s="10">
        <v>36</v>
      </c>
      <c r="J170" s="10" t="s">
        <v>14</v>
      </c>
      <c r="K170" s="14">
        <v>0.57999999999999996</v>
      </c>
      <c r="L170" s="10" t="s">
        <v>22</v>
      </c>
      <c r="M170" s="10" t="s">
        <v>3</v>
      </c>
      <c r="N170" s="10">
        <v>1</v>
      </c>
      <c r="O170" s="10"/>
    </row>
    <row r="171" spans="1:15" x14ac:dyDescent="0.25">
      <c r="A171" s="9" t="s">
        <v>219</v>
      </c>
      <c r="B171" s="15">
        <v>45788</v>
      </c>
      <c r="C171" s="9">
        <v>34</v>
      </c>
      <c r="D171" s="9" t="s">
        <v>9</v>
      </c>
      <c r="E171" s="16">
        <v>765218</v>
      </c>
      <c r="F171" s="9">
        <v>678</v>
      </c>
      <c r="G171" s="16">
        <v>731357</v>
      </c>
      <c r="H171" s="17">
        <v>24</v>
      </c>
      <c r="I171" s="9">
        <v>24</v>
      </c>
      <c r="J171" s="9" t="s">
        <v>14</v>
      </c>
      <c r="K171" s="18">
        <v>0.41</v>
      </c>
      <c r="L171" s="9" t="s">
        <v>18</v>
      </c>
      <c r="M171" s="9" t="s">
        <v>4</v>
      </c>
      <c r="N171" s="9">
        <v>0</v>
      </c>
      <c r="O171" s="9"/>
    </row>
    <row r="172" spans="1:15" x14ac:dyDescent="0.25">
      <c r="A172" s="10" t="s">
        <v>220</v>
      </c>
      <c r="B172" s="11">
        <v>45078</v>
      </c>
      <c r="C172" s="10">
        <v>30</v>
      </c>
      <c r="D172" s="10" t="s">
        <v>9</v>
      </c>
      <c r="E172" s="12">
        <v>1532924</v>
      </c>
      <c r="F172" s="10">
        <v>324</v>
      </c>
      <c r="G172" s="12">
        <v>1466183</v>
      </c>
      <c r="H172" s="13">
        <v>12</v>
      </c>
      <c r="I172" s="10">
        <v>12</v>
      </c>
      <c r="J172" s="10" t="s">
        <v>12</v>
      </c>
      <c r="K172" s="14">
        <v>0.4</v>
      </c>
      <c r="L172" s="10" t="s">
        <v>21</v>
      </c>
      <c r="M172" s="10" t="s">
        <v>2</v>
      </c>
      <c r="N172" s="10">
        <v>0</v>
      </c>
      <c r="O172" s="10"/>
    </row>
    <row r="173" spans="1:15" x14ac:dyDescent="0.25">
      <c r="A173" s="9" t="s">
        <v>221</v>
      </c>
      <c r="B173" s="15">
        <v>44960</v>
      </c>
      <c r="C173" s="9">
        <v>62</v>
      </c>
      <c r="D173" s="9" t="s">
        <v>17</v>
      </c>
      <c r="E173" s="16">
        <v>1738021</v>
      </c>
      <c r="F173" s="9">
        <v>646</v>
      </c>
      <c r="G173" s="16">
        <v>947191</v>
      </c>
      <c r="H173" s="17">
        <v>12</v>
      </c>
      <c r="I173" s="9">
        <v>36</v>
      </c>
      <c r="J173" s="9" t="s">
        <v>11</v>
      </c>
      <c r="K173" s="18">
        <v>0.52</v>
      </c>
      <c r="L173" s="9" t="s">
        <v>20</v>
      </c>
      <c r="M173" s="9" t="s">
        <v>3</v>
      </c>
      <c r="N173" s="9">
        <v>0</v>
      </c>
      <c r="O173" s="9"/>
    </row>
    <row r="174" spans="1:15" x14ac:dyDescent="0.25">
      <c r="A174" s="10" t="s">
        <v>222</v>
      </c>
      <c r="B174" s="11">
        <v>45777</v>
      </c>
      <c r="C174" s="10">
        <v>25</v>
      </c>
      <c r="D174" s="10" t="s">
        <v>9</v>
      </c>
      <c r="E174" s="12">
        <v>1064467</v>
      </c>
      <c r="F174" s="10">
        <v>622</v>
      </c>
      <c r="G174" s="12">
        <v>159990</v>
      </c>
      <c r="H174" s="13">
        <v>13</v>
      </c>
      <c r="I174" s="10">
        <v>36</v>
      </c>
      <c r="J174" s="10" t="s">
        <v>13</v>
      </c>
      <c r="K174" s="14">
        <v>0.32</v>
      </c>
      <c r="L174" s="10" t="s">
        <v>21</v>
      </c>
      <c r="M174" s="10" t="s">
        <v>3</v>
      </c>
      <c r="N174" s="10">
        <v>0</v>
      </c>
      <c r="O174" s="10"/>
    </row>
    <row r="175" spans="1:15" x14ac:dyDescent="0.25">
      <c r="A175" s="9" t="s">
        <v>223</v>
      </c>
      <c r="B175" s="15">
        <v>45455</v>
      </c>
      <c r="C175" s="9">
        <v>56</v>
      </c>
      <c r="D175" s="9" t="s">
        <v>17</v>
      </c>
      <c r="E175" s="16">
        <v>918852</v>
      </c>
      <c r="F175" s="9">
        <v>811</v>
      </c>
      <c r="G175" s="16">
        <v>1248384</v>
      </c>
      <c r="H175" s="17">
        <v>11</v>
      </c>
      <c r="I175" s="9">
        <v>60</v>
      </c>
      <c r="J175" s="9" t="s">
        <v>11</v>
      </c>
      <c r="K175" s="18">
        <v>0.47</v>
      </c>
      <c r="L175" s="9" t="s">
        <v>19</v>
      </c>
      <c r="M175" s="9" t="s">
        <v>2</v>
      </c>
      <c r="N175" s="9">
        <v>0</v>
      </c>
      <c r="O175" s="9"/>
    </row>
    <row r="176" spans="1:15" x14ac:dyDescent="0.25">
      <c r="A176" s="10" t="s">
        <v>224</v>
      </c>
      <c r="B176" s="11">
        <v>45361</v>
      </c>
      <c r="C176" s="10">
        <v>35</v>
      </c>
      <c r="D176" s="10" t="s">
        <v>17</v>
      </c>
      <c r="E176" s="12">
        <v>1705397</v>
      </c>
      <c r="F176" s="10">
        <v>533</v>
      </c>
      <c r="G176" s="12">
        <v>627318</v>
      </c>
      <c r="H176" s="13">
        <v>6</v>
      </c>
      <c r="I176" s="10">
        <v>12</v>
      </c>
      <c r="J176" s="10" t="s">
        <v>11</v>
      </c>
      <c r="K176" s="14">
        <v>0.48</v>
      </c>
      <c r="L176" s="10" t="s">
        <v>19</v>
      </c>
      <c r="M176" s="10" t="s">
        <v>2</v>
      </c>
      <c r="N176" s="10">
        <v>1</v>
      </c>
      <c r="O176" s="10"/>
    </row>
    <row r="177" spans="1:15" x14ac:dyDescent="0.25">
      <c r="A177" s="9" t="s">
        <v>225</v>
      </c>
      <c r="B177" s="15">
        <v>45701</v>
      </c>
      <c r="C177" s="9">
        <v>23</v>
      </c>
      <c r="D177" s="9" t="s">
        <v>16</v>
      </c>
      <c r="E177" s="16">
        <v>860925</v>
      </c>
      <c r="F177" s="9">
        <v>750</v>
      </c>
      <c r="G177" s="16">
        <v>1450838</v>
      </c>
      <c r="H177" s="17">
        <v>12</v>
      </c>
      <c r="I177" s="9">
        <v>60</v>
      </c>
      <c r="J177" s="9" t="s">
        <v>9</v>
      </c>
      <c r="K177" s="18">
        <v>0.49</v>
      </c>
      <c r="L177" s="9" t="s">
        <v>20</v>
      </c>
      <c r="M177" s="9" t="s">
        <v>4</v>
      </c>
      <c r="N177" s="9">
        <v>0</v>
      </c>
      <c r="O177" s="9"/>
    </row>
    <row r="178" spans="1:15" x14ac:dyDescent="0.25">
      <c r="A178" s="10" t="s">
        <v>226</v>
      </c>
      <c r="B178" s="11">
        <v>45166</v>
      </c>
      <c r="C178" s="10">
        <v>36</v>
      </c>
      <c r="D178" s="10" t="s">
        <v>17</v>
      </c>
      <c r="E178" s="12">
        <v>713089</v>
      </c>
      <c r="F178" s="10">
        <v>674</v>
      </c>
      <c r="G178" s="12">
        <v>1527452</v>
      </c>
      <c r="H178" s="13">
        <v>8</v>
      </c>
      <c r="I178" s="10">
        <v>60</v>
      </c>
      <c r="J178" s="10" t="s">
        <v>11</v>
      </c>
      <c r="K178" s="14">
        <v>0.48</v>
      </c>
      <c r="L178" s="10" t="s">
        <v>18</v>
      </c>
      <c r="M178" s="10" t="s">
        <v>5</v>
      </c>
      <c r="N178" s="10">
        <v>1</v>
      </c>
      <c r="O178" s="10"/>
    </row>
    <row r="179" spans="1:15" x14ac:dyDescent="0.25">
      <c r="A179" s="9" t="s">
        <v>227</v>
      </c>
      <c r="B179" s="15">
        <v>45284</v>
      </c>
      <c r="C179" s="9">
        <v>34</v>
      </c>
      <c r="D179" s="9" t="s">
        <v>9</v>
      </c>
      <c r="E179" s="16">
        <v>1887499</v>
      </c>
      <c r="F179" s="9">
        <v>337</v>
      </c>
      <c r="G179" s="16">
        <v>1972897</v>
      </c>
      <c r="H179" s="17">
        <v>13</v>
      </c>
      <c r="I179" s="9">
        <v>24</v>
      </c>
      <c r="J179" s="9" t="s">
        <v>13</v>
      </c>
      <c r="K179" s="18">
        <v>0.5</v>
      </c>
      <c r="L179" s="9" t="s">
        <v>22</v>
      </c>
      <c r="M179" s="9" t="s">
        <v>4</v>
      </c>
      <c r="N179" s="9">
        <v>1</v>
      </c>
      <c r="O179" s="9"/>
    </row>
    <row r="180" spans="1:15" x14ac:dyDescent="0.25">
      <c r="A180" s="10" t="s">
        <v>228</v>
      </c>
      <c r="B180" s="11">
        <v>45840</v>
      </c>
      <c r="C180" s="10">
        <v>34</v>
      </c>
      <c r="D180" s="10" t="s">
        <v>9</v>
      </c>
      <c r="E180" s="12">
        <v>578256</v>
      </c>
      <c r="F180" s="10">
        <v>708</v>
      </c>
      <c r="G180" s="12">
        <v>1419304</v>
      </c>
      <c r="H180" s="13">
        <v>18</v>
      </c>
      <c r="I180" s="10">
        <v>60</v>
      </c>
      <c r="J180" s="10" t="s">
        <v>10</v>
      </c>
      <c r="K180" s="14">
        <v>0.34</v>
      </c>
      <c r="L180" s="10" t="s">
        <v>19</v>
      </c>
      <c r="M180" s="10" t="s">
        <v>3</v>
      </c>
      <c r="N180" s="10">
        <v>0</v>
      </c>
      <c r="O180" s="10"/>
    </row>
    <row r="181" spans="1:15" x14ac:dyDescent="0.25">
      <c r="A181" s="9" t="s">
        <v>229</v>
      </c>
      <c r="B181" s="15">
        <v>45390</v>
      </c>
      <c r="C181" s="9">
        <v>29</v>
      </c>
      <c r="D181" s="9" t="s">
        <v>16</v>
      </c>
      <c r="E181" s="16">
        <v>727935</v>
      </c>
      <c r="F181" s="9">
        <v>814</v>
      </c>
      <c r="G181" s="16">
        <v>280361</v>
      </c>
      <c r="H181" s="17">
        <v>13</v>
      </c>
      <c r="I181" s="9">
        <v>36</v>
      </c>
      <c r="J181" s="9" t="s">
        <v>10</v>
      </c>
      <c r="K181" s="18">
        <v>0.34</v>
      </c>
      <c r="L181" s="9" t="s">
        <v>20</v>
      </c>
      <c r="M181" s="9" t="s">
        <v>2</v>
      </c>
      <c r="N181" s="9">
        <v>0</v>
      </c>
      <c r="O181" s="9"/>
    </row>
    <row r="182" spans="1:15" x14ac:dyDescent="0.25">
      <c r="A182" s="10" t="s">
        <v>230</v>
      </c>
      <c r="B182" s="11">
        <v>45484</v>
      </c>
      <c r="C182" s="10">
        <v>45</v>
      </c>
      <c r="D182" s="10" t="s">
        <v>16</v>
      </c>
      <c r="E182" s="12">
        <v>2179562</v>
      </c>
      <c r="F182" s="10">
        <v>597</v>
      </c>
      <c r="G182" s="12">
        <v>1616798</v>
      </c>
      <c r="H182" s="13">
        <v>12</v>
      </c>
      <c r="I182" s="10">
        <v>12</v>
      </c>
      <c r="J182" s="10" t="s">
        <v>12</v>
      </c>
      <c r="K182" s="14">
        <v>0.45</v>
      </c>
      <c r="L182" s="10" t="s">
        <v>20</v>
      </c>
      <c r="M182" s="10" t="s">
        <v>4</v>
      </c>
      <c r="N182" s="10">
        <v>0</v>
      </c>
      <c r="O182" s="10"/>
    </row>
    <row r="183" spans="1:15" x14ac:dyDescent="0.25">
      <c r="A183" s="9" t="s">
        <v>231</v>
      </c>
      <c r="B183" s="15">
        <v>45298</v>
      </c>
      <c r="C183" s="9">
        <v>43</v>
      </c>
      <c r="D183" s="9" t="s">
        <v>9</v>
      </c>
      <c r="E183" s="16">
        <v>1527021</v>
      </c>
      <c r="F183" s="9">
        <v>388</v>
      </c>
      <c r="G183" s="16">
        <v>1697699</v>
      </c>
      <c r="H183" s="17">
        <v>22</v>
      </c>
      <c r="I183" s="9">
        <v>36</v>
      </c>
      <c r="J183" s="9" t="s">
        <v>12</v>
      </c>
      <c r="K183" s="18">
        <v>0.22</v>
      </c>
      <c r="L183" s="9" t="s">
        <v>19</v>
      </c>
      <c r="M183" s="9" t="s">
        <v>5</v>
      </c>
      <c r="N183" s="9">
        <v>1</v>
      </c>
      <c r="O183" s="9"/>
    </row>
    <row r="184" spans="1:15" x14ac:dyDescent="0.25">
      <c r="A184" s="10" t="s">
        <v>232</v>
      </c>
      <c r="B184" s="11">
        <v>45336</v>
      </c>
      <c r="C184" s="10">
        <v>61</v>
      </c>
      <c r="D184" s="10" t="s">
        <v>17</v>
      </c>
      <c r="E184" s="12">
        <v>279508</v>
      </c>
      <c r="F184" s="10">
        <v>802</v>
      </c>
      <c r="G184" s="12">
        <v>1245710</v>
      </c>
      <c r="H184" s="13">
        <v>18</v>
      </c>
      <c r="I184" s="10">
        <v>24</v>
      </c>
      <c r="J184" s="10" t="s">
        <v>9</v>
      </c>
      <c r="K184" s="14">
        <v>0.44</v>
      </c>
      <c r="L184" s="10" t="s">
        <v>21</v>
      </c>
      <c r="M184" s="10" t="s">
        <v>2</v>
      </c>
      <c r="N184" s="10">
        <v>0</v>
      </c>
      <c r="O184" s="10"/>
    </row>
    <row r="185" spans="1:15" x14ac:dyDescent="0.25">
      <c r="A185" s="9" t="s">
        <v>233</v>
      </c>
      <c r="B185" s="15">
        <v>45657</v>
      </c>
      <c r="C185" s="9">
        <v>53</v>
      </c>
      <c r="D185" s="9" t="s">
        <v>17</v>
      </c>
      <c r="E185" s="16">
        <v>2279687</v>
      </c>
      <c r="F185" s="9">
        <v>391</v>
      </c>
      <c r="G185" s="16">
        <v>552408</v>
      </c>
      <c r="H185" s="17">
        <v>8</v>
      </c>
      <c r="I185" s="9">
        <v>12</v>
      </c>
      <c r="J185" s="9" t="s">
        <v>13</v>
      </c>
      <c r="K185" s="18">
        <v>0.33</v>
      </c>
      <c r="L185" s="9" t="s">
        <v>19</v>
      </c>
      <c r="M185" s="9" t="s">
        <v>4</v>
      </c>
      <c r="N185" s="9">
        <v>0</v>
      </c>
      <c r="O185" s="9"/>
    </row>
    <row r="186" spans="1:15" x14ac:dyDescent="0.25">
      <c r="A186" s="10" t="s">
        <v>234</v>
      </c>
      <c r="B186" s="11">
        <v>45697</v>
      </c>
      <c r="C186" s="10">
        <v>34</v>
      </c>
      <c r="D186" s="10" t="s">
        <v>9</v>
      </c>
      <c r="E186" s="12">
        <v>1891640</v>
      </c>
      <c r="F186" s="10">
        <v>773</v>
      </c>
      <c r="G186" s="12">
        <v>521971</v>
      </c>
      <c r="H186" s="13">
        <v>23</v>
      </c>
      <c r="I186" s="10">
        <v>24</v>
      </c>
      <c r="J186" s="10" t="s">
        <v>13</v>
      </c>
      <c r="K186" s="14">
        <v>0.59</v>
      </c>
      <c r="L186" s="10" t="s">
        <v>20</v>
      </c>
      <c r="M186" s="10" t="s">
        <v>3</v>
      </c>
      <c r="N186" s="10">
        <v>0</v>
      </c>
      <c r="O186" s="10"/>
    </row>
    <row r="187" spans="1:15" x14ac:dyDescent="0.25">
      <c r="A187" s="9" t="s">
        <v>235</v>
      </c>
      <c r="B187" s="15">
        <v>45618</v>
      </c>
      <c r="C187" s="9">
        <v>38</v>
      </c>
      <c r="D187" s="9" t="s">
        <v>17</v>
      </c>
      <c r="E187" s="16">
        <v>1378039</v>
      </c>
      <c r="F187" s="9">
        <v>668</v>
      </c>
      <c r="G187" s="16">
        <v>1976938</v>
      </c>
      <c r="H187" s="17">
        <v>23</v>
      </c>
      <c r="I187" s="9">
        <v>60</v>
      </c>
      <c r="J187" s="9" t="s">
        <v>14</v>
      </c>
      <c r="K187" s="18">
        <v>0.28999999999999998</v>
      </c>
      <c r="L187" s="9" t="s">
        <v>21</v>
      </c>
      <c r="M187" s="9" t="s">
        <v>5</v>
      </c>
      <c r="N187" s="9">
        <v>0</v>
      </c>
      <c r="O187" s="9"/>
    </row>
    <row r="188" spans="1:15" x14ac:dyDescent="0.25">
      <c r="A188" s="10" t="s">
        <v>236</v>
      </c>
      <c r="B188" s="11">
        <v>45734</v>
      </c>
      <c r="C188" s="10">
        <v>64</v>
      </c>
      <c r="D188" s="10" t="s">
        <v>16</v>
      </c>
      <c r="E188" s="12">
        <v>2242306</v>
      </c>
      <c r="F188" s="10">
        <v>531</v>
      </c>
      <c r="G188" s="12">
        <v>1653463</v>
      </c>
      <c r="H188" s="13">
        <v>8</v>
      </c>
      <c r="I188" s="10">
        <v>60</v>
      </c>
      <c r="J188" s="10" t="s">
        <v>12</v>
      </c>
      <c r="K188" s="14">
        <v>0.18</v>
      </c>
      <c r="L188" s="10" t="s">
        <v>20</v>
      </c>
      <c r="M188" s="10" t="s">
        <v>4</v>
      </c>
      <c r="N188" s="10">
        <v>1</v>
      </c>
      <c r="O188" s="10"/>
    </row>
    <row r="189" spans="1:15" x14ac:dyDescent="0.25">
      <c r="A189" s="9" t="s">
        <v>237</v>
      </c>
      <c r="B189" s="15">
        <v>46018</v>
      </c>
      <c r="C189" s="9">
        <v>53</v>
      </c>
      <c r="D189" s="9" t="s">
        <v>9</v>
      </c>
      <c r="E189" s="16">
        <v>800018</v>
      </c>
      <c r="F189" s="9">
        <v>715</v>
      </c>
      <c r="G189" s="16">
        <v>1056368</v>
      </c>
      <c r="H189" s="17">
        <v>12</v>
      </c>
      <c r="I189" s="9">
        <v>36</v>
      </c>
      <c r="J189" s="9" t="s">
        <v>9</v>
      </c>
      <c r="K189" s="18">
        <v>0.45</v>
      </c>
      <c r="L189" s="9" t="s">
        <v>21</v>
      </c>
      <c r="M189" s="9" t="s">
        <v>4</v>
      </c>
      <c r="N189" s="9">
        <v>0</v>
      </c>
      <c r="O189" s="9"/>
    </row>
    <row r="190" spans="1:15" x14ac:dyDescent="0.25">
      <c r="A190" s="10" t="s">
        <v>238</v>
      </c>
      <c r="B190" s="11">
        <v>45934</v>
      </c>
      <c r="C190" s="10">
        <v>38</v>
      </c>
      <c r="D190" s="10" t="s">
        <v>17</v>
      </c>
      <c r="E190" s="12">
        <v>2363333</v>
      </c>
      <c r="F190" s="10">
        <v>391</v>
      </c>
      <c r="G190" s="12">
        <v>405466</v>
      </c>
      <c r="H190" s="13">
        <v>16</v>
      </c>
      <c r="I190" s="10">
        <v>60</v>
      </c>
      <c r="J190" s="10" t="s">
        <v>10</v>
      </c>
      <c r="K190" s="14">
        <v>0.42</v>
      </c>
      <c r="L190" s="10" t="s">
        <v>19</v>
      </c>
      <c r="M190" s="10" t="s">
        <v>3</v>
      </c>
      <c r="N190" s="10">
        <v>0</v>
      </c>
      <c r="O190" s="10"/>
    </row>
    <row r="191" spans="1:15" x14ac:dyDescent="0.25">
      <c r="A191" s="9" t="s">
        <v>239</v>
      </c>
      <c r="B191" s="15">
        <v>45274</v>
      </c>
      <c r="C191" s="9">
        <v>43</v>
      </c>
      <c r="D191" s="9" t="s">
        <v>16</v>
      </c>
      <c r="E191" s="16">
        <v>1291412</v>
      </c>
      <c r="F191" s="9">
        <v>514</v>
      </c>
      <c r="G191" s="16">
        <v>1901546</v>
      </c>
      <c r="H191" s="17">
        <v>6</v>
      </c>
      <c r="I191" s="9">
        <v>12</v>
      </c>
      <c r="J191" s="9" t="s">
        <v>14</v>
      </c>
      <c r="K191" s="18">
        <v>0.14000000000000001</v>
      </c>
      <c r="L191" s="9" t="s">
        <v>20</v>
      </c>
      <c r="M191" s="9" t="s">
        <v>2</v>
      </c>
      <c r="N191" s="9">
        <v>1</v>
      </c>
      <c r="O191" s="9"/>
    </row>
    <row r="192" spans="1:15" x14ac:dyDescent="0.25">
      <c r="A192" s="10" t="s">
        <v>240</v>
      </c>
      <c r="B192" s="11">
        <v>45553</v>
      </c>
      <c r="C192" s="10">
        <v>26</v>
      </c>
      <c r="D192" s="10" t="s">
        <v>17</v>
      </c>
      <c r="E192" s="12">
        <v>1388554</v>
      </c>
      <c r="F192" s="10">
        <v>787</v>
      </c>
      <c r="G192" s="12">
        <v>796512</v>
      </c>
      <c r="H192" s="13">
        <v>14</v>
      </c>
      <c r="I192" s="10">
        <v>60</v>
      </c>
      <c r="J192" s="10" t="s">
        <v>14</v>
      </c>
      <c r="K192" s="14">
        <v>0.14000000000000001</v>
      </c>
      <c r="L192" s="10" t="s">
        <v>22</v>
      </c>
      <c r="M192" s="10" t="s">
        <v>2</v>
      </c>
      <c r="N192" s="10">
        <v>1</v>
      </c>
      <c r="O192" s="10"/>
    </row>
    <row r="193" spans="1:15" x14ac:dyDescent="0.25">
      <c r="A193" s="9" t="s">
        <v>241</v>
      </c>
      <c r="B193" s="15">
        <v>45202</v>
      </c>
      <c r="C193" s="9">
        <v>38</v>
      </c>
      <c r="D193" s="9" t="s">
        <v>16</v>
      </c>
      <c r="E193" s="16">
        <v>1020449</v>
      </c>
      <c r="F193" s="9">
        <v>721</v>
      </c>
      <c r="G193" s="16">
        <v>1583614</v>
      </c>
      <c r="H193" s="17">
        <v>13</v>
      </c>
      <c r="I193" s="9">
        <v>36</v>
      </c>
      <c r="J193" s="9" t="s">
        <v>11</v>
      </c>
      <c r="K193" s="18">
        <v>0.25</v>
      </c>
      <c r="L193" s="9" t="s">
        <v>19</v>
      </c>
      <c r="M193" s="9" t="s">
        <v>4</v>
      </c>
      <c r="N193" s="9">
        <v>0</v>
      </c>
      <c r="O193" s="9"/>
    </row>
    <row r="194" spans="1:15" x14ac:dyDescent="0.25">
      <c r="A194" s="10" t="s">
        <v>242</v>
      </c>
      <c r="B194" s="11">
        <v>45267</v>
      </c>
      <c r="C194" s="10">
        <v>33</v>
      </c>
      <c r="D194" s="10" t="s">
        <v>17</v>
      </c>
      <c r="E194" s="12">
        <v>825281</v>
      </c>
      <c r="F194" s="10">
        <v>546</v>
      </c>
      <c r="G194" s="12">
        <v>1126705</v>
      </c>
      <c r="H194" s="13">
        <v>14</v>
      </c>
      <c r="I194" s="10">
        <v>12</v>
      </c>
      <c r="J194" s="10" t="s">
        <v>11</v>
      </c>
      <c r="K194" s="14">
        <v>0.16</v>
      </c>
      <c r="L194" s="10" t="s">
        <v>21</v>
      </c>
      <c r="M194" s="10" t="s">
        <v>2</v>
      </c>
      <c r="N194" s="10">
        <v>0</v>
      </c>
      <c r="O194" s="10"/>
    </row>
    <row r="195" spans="1:15" x14ac:dyDescent="0.25">
      <c r="A195" s="9" t="s">
        <v>243</v>
      </c>
      <c r="B195" s="15">
        <v>45035</v>
      </c>
      <c r="C195" s="9">
        <v>62</v>
      </c>
      <c r="D195" s="9" t="s">
        <v>17</v>
      </c>
      <c r="E195" s="16">
        <v>1242126</v>
      </c>
      <c r="F195" s="9">
        <v>799</v>
      </c>
      <c r="G195" s="16">
        <v>917122</v>
      </c>
      <c r="H195" s="17">
        <v>20</v>
      </c>
      <c r="I195" s="9">
        <v>60</v>
      </c>
      <c r="J195" s="9" t="s">
        <v>11</v>
      </c>
      <c r="K195" s="18">
        <v>0.35</v>
      </c>
      <c r="L195" s="9" t="s">
        <v>22</v>
      </c>
      <c r="M195" s="9" t="s">
        <v>3</v>
      </c>
      <c r="N195" s="9">
        <v>0</v>
      </c>
      <c r="O195" s="9"/>
    </row>
    <row r="196" spans="1:15" x14ac:dyDescent="0.25">
      <c r="A196" s="10" t="s">
        <v>244</v>
      </c>
      <c r="B196" s="11">
        <v>45445</v>
      </c>
      <c r="C196" s="10">
        <v>26</v>
      </c>
      <c r="D196" s="10" t="s">
        <v>17</v>
      </c>
      <c r="E196" s="12">
        <v>878043</v>
      </c>
      <c r="F196" s="10">
        <v>424</v>
      </c>
      <c r="G196" s="12">
        <v>945799</v>
      </c>
      <c r="H196" s="13">
        <v>7</v>
      </c>
      <c r="I196" s="10">
        <v>60</v>
      </c>
      <c r="J196" s="10" t="s">
        <v>9</v>
      </c>
      <c r="K196" s="14">
        <v>0.35</v>
      </c>
      <c r="L196" s="10" t="s">
        <v>20</v>
      </c>
      <c r="M196" s="10" t="s">
        <v>3</v>
      </c>
      <c r="N196" s="10">
        <v>1</v>
      </c>
      <c r="O196" s="10"/>
    </row>
    <row r="197" spans="1:15" x14ac:dyDescent="0.25">
      <c r="A197" s="9" t="s">
        <v>245</v>
      </c>
      <c r="B197" s="15">
        <v>45568</v>
      </c>
      <c r="C197" s="9">
        <v>60</v>
      </c>
      <c r="D197" s="9" t="s">
        <v>9</v>
      </c>
      <c r="E197" s="16">
        <v>2351976</v>
      </c>
      <c r="F197" s="9">
        <v>333</v>
      </c>
      <c r="G197" s="16">
        <v>1649658</v>
      </c>
      <c r="H197" s="17">
        <v>19</v>
      </c>
      <c r="I197" s="9">
        <v>60</v>
      </c>
      <c r="J197" s="9" t="s">
        <v>13</v>
      </c>
      <c r="K197" s="18">
        <v>0.17</v>
      </c>
      <c r="L197" s="9" t="s">
        <v>18</v>
      </c>
      <c r="M197" s="9" t="s">
        <v>4</v>
      </c>
      <c r="N197" s="9">
        <v>1</v>
      </c>
      <c r="O197" s="9"/>
    </row>
    <row r="198" spans="1:15" x14ac:dyDescent="0.25">
      <c r="A198" s="10" t="s">
        <v>246</v>
      </c>
      <c r="B198" s="11">
        <v>45484</v>
      </c>
      <c r="C198" s="10">
        <v>45</v>
      </c>
      <c r="D198" s="10" t="s">
        <v>16</v>
      </c>
      <c r="E198" s="12">
        <v>1931882</v>
      </c>
      <c r="F198" s="10">
        <v>835</v>
      </c>
      <c r="G198" s="12">
        <v>572081</v>
      </c>
      <c r="H198" s="13">
        <v>21</v>
      </c>
      <c r="I198" s="10">
        <v>12</v>
      </c>
      <c r="J198" s="10" t="s">
        <v>14</v>
      </c>
      <c r="K198" s="14">
        <v>0.4</v>
      </c>
      <c r="L198" s="10" t="s">
        <v>22</v>
      </c>
      <c r="M198" s="10" t="s">
        <v>2</v>
      </c>
      <c r="N198" s="10">
        <v>0</v>
      </c>
      <c r="O198" s="10"/>
    </row>
    <row r="199" spans="1:15" x14ac:dyDescent="0.25">
      <c r="A199" s="9" t="s">
        <v>247</v>
      </c>
      <c r="B199" s="15">
        <v>45589</v>
      </c>
      <c r="C199" s="9">
        <v>32</v>
      </c>
      <c r="D199" s="9" t="s">
        <v>16</v>
      </c>
      <c r="E199" s="16">
        <v>1222303</v>
      </c>
      <c r="F199" s="9">
        <v>457</v>
      </c>
      <c r="G199" s="16">
        <v>1309174</v>
      </c>
      <c r="H199" s="17">
        <v>9</v>
      </c>
      <c r="I199" s="9">
        <v>24</v>
      </c>
      <c r="J199" s="9" t="s">
        <v>11</v>
      </c>
      <c r="K199" s="18">
        <v>0.54</v>
      </c>
      <c r="L199" s="9" t="s">
        <v>20</v>
      </c>
      <c r="M199" s="9" t="s">
        <v>2</v>
      </c>
      <c r="N199" s="9">
        <v>0</v>
      </c>
      <c r="O199" s="9"/>
    </row>
    <row r="200" spans="1:15" x14ac:dyDescent="0.25">
      <c r="A200" s="10" t="s">
        <v>248</v>
      </c>
      <c r="B200" s="11">
        <v>45926</v>
      </c>
      <c r="C200" s="10">
        <v>64</v>
      </c>
      <c r="D200" s="10" t="s">
        <v>17</v>
      </c>
      <c r="E200" s="12">
        <v>1660196</v>
      </c>
      <c r="F200" s="10">
        <v>473</v>
      </c>
      <c r="G200" s="12">
        <v>1255156</v>
      </c>
      <c r="H200" s="13">
        <v>10</v>
      </c>
      <c r="I200" s="10">
        <v>36</v>
      </c>
      <c r="J200" s="10" t="s">
        <v>13</v>
      </c>
      <c r="K200" s="14">
        <v>0.45</v>
      </c>
      <c r="L200" s="10" t="s">
        <v>20</v>
      </c>
      <c r="M200" s="10" t="s">
        <v>4</v>
      </c>
      <c r="N200" s="10">
        <v>0</v>
      </c>
      <c r="O200" s="10"/>
    </row>
    <row r="201" spans="1:15" x14ac:dyDescent="0.25">
      <c r="A201" s="9" t="s">
        <v>249</v>
      </c>
      <c r="B201" s="15">
        <v>45326</v>
      </c>
      <c r="C201" s="9">
        <v>59</v>
      </c>
      <c r="D201" s="9" t="s">
        <v>17</v>
      </c>
      <c r="E201" s="16">
        <v>264426</v>
      </c>
      <c r="F201" s="9">
        <v>391</v>
      </c>
      <c r="G201" s="16">
        <v>1969072</v>
      </c>
      <c r="H201" s="17">
        <v>19</v>
      </c>
      <c r="I201" s="9">
        <v>24</v>
      </c>
      <c r="J201" s="9" t="s">
        <v>9</v>
      </c>
      <c r="K201" s="18">
        <v>0.18</v>
      </c>
      <c r="L201" s="9" t="s">
        <v>18</v>
      </c>
      <c r="M201" s="9" t="s">
        <v>4</v>
      </c>
      <c r="N201" s="9">
        <v>1</v>
      </c>
      <c r="O201" s="9"/>
    </row>
    <row r="202" spans="1:15" x14ac:dyDescent="0.25">
      <c r="A202" s="10" t="s">
        <v>250</v>
      </c>
      <c r="B202" s="11">
        <v>45016</v>
      </c>
      <c r="C202" s="10">
        <v>57</v>
      </c>
      <c r="D202" s="10" t="s">
        <v>16</v>
      </c>
      <c r="E202" s="12">
        <v>2078005</v>
      </c>
      <c r="F202" s="10">
        <v>664</v>
      </c>
      <c r="G202" s="12">
        <v>1047465</v>
      </c>
      <c r="H202" s="13">
        <v>6</v>
      </c>
      <c r="I202" s="10">
        <v>36</v>
      </c>
      <c r="J202" s="10" t="s">
        <v>12</v>
      </c>
      <c r="K202" s="14">
        <v>0.17</v>
      </c>
      <c r="L202" s="10" t="s">
        <v>19</v>
      </c>
      <c r="M202" s="10" t="s">
        <v>5</v>
      </c>
      <c r="N202" s="10">
        <v>0</v>
      </c>
      <c r="O202" s="10"/>
    </row>
    <row r="203" spans="1:15" x14ac:dyDescent="0.25">
      <c r="A203" s="9" t="s">
        <v>251</v>
      </c>
      <c r="B203" s="15">
        <v>45188</v>
      </c>
      <c r="C203" s="9">
        <v>51</v>
      </c>
      <c r="D203" s="9" t="s">
        <v>9</v>
      </c>
      <c r="E203" s="16">
        <v>858568</v>
      </c>
      <c r="F203" s="9">
        <v>414</v>
      </c>
      <c r="G203" s="16">
        <v>370358</v>
      </c>
      <c r="H203" s="17">
        <v>22</v>
      </c>
      <c r="I203" s="9">
        <v>12</v>
      </c>
      <c r="J203" s="9" t="s">
        <v>14</v>
      </c>
      <c r="K203" s="18">
        <v>0.27</v>
      </c>
      <c r="L203" s="9" t="s">
        <v>20</v>
      </c>
      <c r="M203" s="9" t="s">
        <v>2</v>
      </c>
      <c r="N203" s="9">
        <v>0</v>
      </c>
      <c r="O203" s="9"/>
    </row>
    <row r="204" spans="1:15" x14ac:dyDescent="0.25">
      <c r="A204" s="10" t="s">
        <v>252</v>
      </c>
      <c r="B204" s="11">
        <v>45037</v>
      </c>
      <c r="C204" s="10">
        <v>51</v>
      </c>
      <c r="D204" s="10" t="s">
        <v>17</v>
      </c>
      <c r="E204" s="12">
        <v>1139280</v>
      </c>
      <c r="F204" s="10">
        <v>577</v>
      </c>
      <c r="G204" s="12">
        <v>1570799</v>
      </c>
      <c r="H204" s="13">
        <v>13</v>
      </c>
      <c r="I204" s="10">
        <v>24</v>
      </c>
      <c r="J204" s="10" t="s">
        <v>14</v>
      </c>
      <c r="K204" s="14">
        <v>0.31</v>
      </c>
      <c r="L204" s="10" t="s">
        <v>21</v>
      </c>
      <c r="M204" s="10" t="s">
        <v>3</v>
      </c>
      <c r="N204" s="10">
        <v>0</v>
      </c>
      <c r="O204" s="10"/>
    </row>
    <row r="205" spans="1:15" x14ac:dyDescent="0.25">
      <c r="A205" s="9" t="s">
        <v>253</v>
      </c>
      <c r="B205" s="15">
        <v>45928</v>
      </c>
      <c r="C205" s="9">
        <v>62</v>
      </c>
      <c r="D205" s="9" t="s">
        <v>17</v>
      </c>
      <c r="E205" s="16">
        <v>2302062</v>
      </c>
      <c r="F205" s="9">
        <v>568</v>
      </c>
      <c r="G205" s="16">
        <v>1292328</v>
      </c>
      <c r="H205" s="17">
        <v>19</v>
      </c>
      <c r="I205" s="9">
        <v>36</v>
      </c>
      <c r="J205" s="9" t="s">
        <v>14</v>
      </c>
      <c r="K205" s="18">
        <v>0.35</v>
      </c>
      <c r="L205" s="9" t="s">
        <v>19</v>
      </c>
      <c r="M205" s="9" t="s">
        <v>2</v>
      </c>
      <c r="N205" s="9">
        <v>0</v>
      </c>
      <c r="O205" s="9"/>
    </row>
    <row r="206" spans="1:15" x14ac:dyDescent="0.25">
      <c r="A206" s="10" t="s">
        <v>254</v>
      </c>
      <c r="B206" s="11">
        <v>45513</v>
      </c>
      <c r="C206" s="10">
        <v>46</v>
      </c>
      <c r="D206" s="10" t="s">
        <v>9</v>
      </c>
      <c r="E206" s="12">
        <v>1609450</v>
      </c>
      <c r="F206" s="10">
        <v>622</v>
      </c>
      <c r="G206" s="12">
        <v>516485</v>
      </c>
      <c r="H206" s="13">
        <v>13</v>
      </c>
      <c r="I206" s="10">
        <v>24</v>
      </c>
      <c r="J206" s="10" t="s">
        <v>9</v>
      </c>
      <c r="K206" s="14">
        <v>0.14000000000000001</v>
      </c>
      <c r="L206" s="10" t="s">
        <v>21</v>
      </c>
      <c r="M206" s="10" t="s">
        <v>5</v>
      </c>
      <c r="N206" s="10">
        <v>0</v>
      </c>
      <c r="O206" s="10"/>
    </row>
    <row r="207" spans="1:15" x14ac:dyDescent="0.25">
      <c r="A207" s="9" t="s">
        <v>255</v>
      </c>
      <c r="B207" s="15">
        <v>45150</v>
      </c>
      <c r="C207" s="9">
        <v>45</v>
      </c>
      <c r="D207" s="9" t="s">
        <v>17</v>
      </c>
      <c r="E207" s="16">
        <v>2372156</v>
      </c>
      <c r="F207" s="9">
        <v>789</v>
      </c>
      <c r="G207" s="16">
        <v>926285</v>
      </c>
      <c r="H207" s="17">
        <v>8</v>
      </c>
      <c r="I207" s="9">
        <v>12</v>
      </c>
      <c r="J207" s="9" t="s">
        <v>13</v>
      </c>
      <c r="K207" s="18">
        <v>0.14000000000000001</v>
      </c>
      <c r="L207" s="9" t="s">
        <v>19</v>
      </c>
      <c r="M207" s="9" t="s">
        <v>3</v>
      </c>
      <c r="N207" s="9">
        <v>0</v>
      </c>
      <c r="O207" s="9"/>
    </row>
    <row r="208" spans="1:15" x14ac:dyDescent="0.25">
      <c r="A208" s="10" t="s">
        <v>256</v>
      </c>
      <c r="B208" s="11">
        <v>45190</v>
      </c>
      <c r="C208" s="10">
        <v>45</v>
      </c>
      <c r="D208" s="10" t="s">
        <v>17</v>
      </c>
      <c r="E208" s="12">
        <v>1756645</v>
      </c>
      <c r="F208" s="10">
        <v>461</v>
      </c>
      <c r="G208" s="12">
        <v>1320808</v>
      </c>
      <c r="H208" s="13">
        <v>18</v>
      </c>
      <c r="I208" s="10">
        <v>24</v>
      </c>
      <c r="J208" s="10" t="s">
        <v>13</v>
      </c>
      <c r="K208" s="14">
        <v>0.28000000000000003</v>
      </c>
      <c r="L208" s="10" t="s">
        <v>21</v>
      </c>
      <c r="M208" s="10" t="s">
        <v>4</v>
      </c>
      <c r="N208" s="10">
        <v>0</v>
      </c>
      <c r="O208" s="10"/>
    </row>
    <row r="209" spans="1:15" x14ac:dyDescent="0.25">
      <c r="A209" s="9" t="s">
        <v>257</v>
      </c>
      <c r="B209" s="15">
        <v>45004</v>
      </c>
      <c r="C209" s="9">
        <v>34</v>
      </c>
      <c r="D209" s="9" t="s">
        <v>9</v>
      </c>
      <c r="E209" s="16">
        <v>389214</v>
      </c>
      <c r="F209" s="9">
        <v>701</v>
      </c>
      <c r="G209" s="16">
        <v>1584216</v>
      </c>
      <c r="H209" s="17">
        <v>10</v>
      </c>
      <c r="I209" s="9">
        <v>24</v>
      </c>
      <c r="J209" s="9" t="s">
        <v>9</v>
      </c>
      <c r="K209" s="18">
        <v>0.47</v>
      </c>
      <c r="L209" s="9" t="s">
        <v>21</v>
      </c>
      <c r="M209" s="9" t="s">
        <v>3</v>
      </c>
      <c r="N209" s="9">
        <v>0</v>
      </c>
      <c r="O209" s="9"/>
    </row>
    <row r="210" spans="1:15" x14ac:dyDescent="0.25">
      <c r="A210" s="10" t="s">
        <v>258</v>
      </c>
      <c r="B210" s="11">
        <v>45726</v>
      </c>
      <c r="C210" s="10">
        <v>23</v>
      </c>
      <c r="D210" s="10" t="s">
        <v>16</v>
      </c>
      <c r="E210" s="12">
        <v>1650370</v>
      </c>
      <c r="F210" s="10">
        <v>479</v>
      </c>
      <c r="G210" s="12">
        <v>647909</v>
      </c>
      <c r="H210" s="13">
        <v>18</v>
      </c>
      <c r="I210" s="10">
        <v>36</v>
      </c>
      <c r="J210" s="10" t="s">
        <v>11</v>
      </c>
      <c r="K210" s="14">
        <v>0.1</v>
      </c>
      <c r="L210" s="10" t="s">
        <v>21</v>
      </c>
      <c r="M210" s="10" t="s">
        <v>3</v>
      </c>
      <c r="N210" s="10">
        <v>1</v>
      </c>
      <c r="O210" s="10"/>
    </row>
    <row r="211" spans="1:15" x14ac:dyDescent="0.25">
      <c r="A211" s="9" t="s">
        <v>259</v>
      </c>
      <c r="B211" s="15">
        <v>45812</v>
      </c>
      <c r="C211" s="9">
        <v>57</v>
      </c>
      <c r="D211" s="9" t="s">
        <v>9</v>
      </c>
      <c r="E211" s="16">
        <v>851500</v>
      </c>
      <c r="F211" s="9">
        <v>357</v>
      </c>
      <c r="G211" s="16">
        <v>731467</v>
      </c>
      <c r="H211" s="17">
        <v>17</v>
      </c>
      <c r="I211" s="9">
        <v>60</v>
      </c>
      <c r="J211" s="9" t="s">
        <v>14</v>
      </c>
      <c r="K211" s="18">
        <v>0.1</v>
      </c>
      <c r="L211" s="9" t="s">
        <v>18</v>
      </c>
      <c r="M211" s="9" t="s">
        <v>2</v>
      </c>
      <c r="N211" s="9">
        <v>0</v>
      </c>
      <c r="O211" s="9"/>
    </row>
    <row r="212" spans="1:15" x14ac:dyDescent="0.25">
      <c r="A212" s="10" t="s">
        <v>260</v>
      </c>
      <c r="B212" s="11">
        <v>44969</v>
      </c>
      <c r="C212" s="10">
        <v>45</v>
      </c>
      <c r="D212" s="10" t="s">
        <v>9</v>
      </c>
      <c r="E212" s="12">
        <v>2011196</v>
      </c>
      <c r="F212" s="10">
        <v>673</v>
      </c>
      <c r="G212" s="12">
        <v>52926</v>
      </c>
      <c r="H212" s="13">
        <v>22</v>
      </c>
      <c r="I212" s="10">
        <v>24</v>
      </c>
      <c r="J212" s="10" t="s">
        <v>14</v>
      </c>
      <c r="K212" s="14">
        <v>0.44</v>
      </c>
      <c r="L212" s="10" t="s">
        <v>22</v>
      </c>
      <c r="M212" s="10" t="s">
        <v>3</v>
      </c>
      <c r="N212" s="10">
        <v>1</v>
      </c>
      <c r="O212" s="10"/>
    </row>
    <row r="213" spans="1:15" x14ac:dyDescent="0.25">
      <c r="A213" s="9" t="s">
        <v>261</v>
      </c>
      <c r="B213" s="15">
        <v>45251</v>
      </c>
      <c r="C213" s="9">
        <v>40</v>
      </c>
      <c r="D213" s="9" t="s">
        <v>16</v>
      </c>
      <c r="E213" s="16">
        <v>1902636</v>
      </c>
      <c r="F213" s="9">
        <v>660</v>
      </c>
      <c r="G213" s="16">
        <v>296705</v>
      </c>
      <c r="H213" s="17">
        <v>9</v>
      </c>
      <c r="I213" s="9">
        <v>60</v>
      </c>
      <c r="J213" s="9" t="s">
        <v>14</v>
      </c>
      <c r="K213" s="18">
        <v>0.22</v>
      </c>
      <c r="L213" s="9" t="s">
        <v>22</v>
      </c>
      <c r="M213" s="9" t="s">
        <v>4</v>
      </c>
      <c r="N213" s="9">
        <v>0</v>
      </c>
      <c r="O213" s="9"/>
    </row>
    <row r="214" spans="1:15" x14ac:dyDescent="0.25">
      <c r="A214" s="10" t="s">
        <v>262</v>
      </c>
      <c r="B214" s="11">
        <v>45019</v>
      </c>
      <c r="C214" s="10">
        <v>60</v>
      </c>
      <c r="D214" s="10" t="s">
        <v>17</v>
      </c>
      <c r="E214" s="12">
        <v>1744197</v>
      </c>
      <c r="F214" s="10">
        <v>333</v>
      </c>
      <c r="G214" s="12">
        <v>1916698</v>
      </c>
      <c r="H214" s="13">
        <v>10</v>
      </c>
      <c r="I214" s="10">
        <v>12</v>
      </c>
      <c r="J214" s="10" t="s">
        <v>9</v>
      </c>
      <c r="K214" s="14">
        <v>0.27</v>
      </c>
      <c r="L214" s="10" t="s">
        <v>20</v>
      </c>
      <c r="M214" s="10" t="s">
        <v>5</v>
      </c>
      <c r="N214" s="10">
        <v>1</v>
      </c>
      <c r="O214" s="10"/>
    </row>
    <row r="215" spans="1:15" x14ac:dyDescent="0.25">
      <c r="A215" s="9" t="s">
        <v>263</v>
      </c>
      <c r="B215" s="15">
        <v>45503</v>
      </c>
      <c r="C215" s="9">
        <v>65</v>
      </c>
      <c r="D215" s="9" t="s">
        <v>9</v>
      </c>
      <c r="E215" s="16">
        <v>1182731</v>
      </c>
      <c r="F215" s="9">
        <v>791</v>
      </c>
      <c r="G215" s="16">
        <v>973660</v>
      </c>
      <c r="H215" s="17">
        <v>7</v>
      </c>
      <c r="I215" s="9">
        <v>24</v>
      </c>
      <c r="J215" s="9" t="s">
        <v>10</v>
      </c>
      <c r="K215" s="18">
        <v>0.48</v>
      </c>
      <c r="L215" s="9" t="s">
        <v>19</v>
      </c>
      <c r="M215" s="9" t="s">
        <v>5</v>
      </c>
      <c r="N215" s="9">
        <v>0</v>
      </c>
      <c r="O215" s="9"/>
    </row>
    <row r="216" spans="1:15" x14ac:dyDescent="0.25">
      <c r="A216" s="10" t="s">
        <v>264</v>
      </c>
      <c r="B216" s="11">
        <v>45034</v>
      </c>
      <c r="C216" s="10">
        <v>40</v>
      </c>
      <c r="D216" s="10" t="s">
        <v>16</v>
      </c>
      <c r="E216" s="12">
        <v>457811</v>
      </c>
      <c r="F216" s="10">
        <v>828</v>
      </c>
      <c r="G216" s="12">
        <v>357134</v>
      </c>
      <c r="H216" s="13">
        <v>22</v>
      </c>
      <c r="I216" s="10">
        <v>12</v>
      </c>
      <c r="J216" s="10" t="s">
        <v>13</v>
      </c>
      <c r="K216" s="14">
        <v>0.15</v>
      </c>
      <c r="L216" s="10" t="s">
        <v>21</v>
      </c>
      <c r="M216" s="10" t="s">
        <v>4</v>
      </c>
      <c r="N216" s="10">
        <v>0</v>
      </c>
      <c r="O216" s="10"/>
    </row>
    <row r="217" spans="1:15" x14ac:dyDescent="0.25">
      <c r="A217" s="9" t="s">
        <v>265</v>
      </c>
      <c r="B217" s="15">
        <v>45514</v>
      </c>
      <c r="C217" s="9">
        <v>65</v>
      </c>
      <c r="D217" s="9" t="s">
        <v>17</v>
      </c>
      <c r="E217" s="16">
        <v>1299860</v>
      </c>
      <c r="F217" s="9">
        <v>560</v>
      </c>
      <c r="G217" s="16">
        <v>1326234</v>
      </c>
      <c r="H217" s="17">
        <v>12</v>
      </c>
      <c r="I217" s="9">
        <v>60</v>
      </c>
      <c r="J217" s="9" t="s">
        <v>14</v>
      </c>
      <c r="K217" s="18">
        <v>0.39</v>
      </c>
      <c r="L217" s="9" t="s">
        <v>20</v>
      </c>
      <c r="M217" s="9" t="s">
        <v>5</v>
      </c>
      <c r="N217" s="9">
        <v>0</v>
      </c>
      <c r="O217" s="9"/>
    </row>
    <row r="218" spans="1:15" x14ac:dyDescent="0.25">
      <c r="A218" s="10" t="s">
        <v>266</v>
      </c>
      <c r="B218" s="11">
        <v>45601</v>
      </c>
      <c r="C218" s="10">
        <v>42</v>
      </c>
      <c r="D218" s="10" t="s">
        <v>16</v>
      </c>
      <c r="E218" s="12">
        <v>339187</v>
      </c>
      <c r="F218" s="10">
        <v>489</v>
      </c>
      <c r="G218" s="12">
        <v>1931074</v>
      </c>
      <c r="H218" s="13">
        <v>16</v>
      </c>
      <c r="I218" s="10">
        <v>12</v>
      </c>
      <c r="J218" s="10" t="s">
        <v>12</v>
      </c>
      <c r="K218" s="14">
        <v>0.44</v>
      </c>
      <c r="L218" s="10" t="s">
        <v>18</v>
      </c>
      <c r="M218" s="10" t="s">
        <v>4</v>
      </c>
      <c r="N218" s="10">
        <v>0</v>
      </c>
      <c r="O218" s="10"/>
    </row>
    <row r="219" spans="1:15" x14ac:dyDescent="0.25">
      <c r="A219" s="9" t="s">
        <v>267</v>
      </c>
      <c r="B219" s="15">
        <v>45965</v>
      </c>
      <c r="C219" s="9">
        <v>21</v>
      </c>
      <c r="D219" s="9" t="s">
        <v>9</v>
      </c>
      <c r="E219" s="16">
        <v>1559290</v>
      </c>
      <c r="F219" s="9">
        <v>803</v>
      </c>
      <c r="G219" s="16">
        <v>720601</v>
      </c>
      <c r="H219" s="17">
        <v>11</v>
      </c>
      <c r="I219" s="9">
        <v>60</v>
      </c>
      <c r="J219" s="9" t="s">
        <v>14</v>
      </c>
      <c r="K219" s="18">
        <v>0.26</v>
      </c>
      <c r="L219" s="9" t="s">
        <v>18</v>
      </c>
      <c r="M219" s="9" t="s">
        <v>4</v>
      </c>
      <c r="N219" s="9">
        <v>0</v>
      </c>
      <c r="O219" s="9"/>
    </row>
    <row r="220" spans="1:15" x14ac:dyDescent="0.25">
      <c r="A220" s="10" t="s">
        <v>268</v>
      </c>
      <c r="B220" s="11">
        <v>45620</v>
      </c>
      <c r="C220" s="10">
        <v>38</v>
      </c>
      <c r="D220" s="10" t="s">
        <v>9</v>
      </c>
      <c r="E220" s="12">
        <v>2014226</v>
      </c>
      <c r="F220" s="10">
        <v>827</v>
      </c>
      <c r="G220" s="12">
        <v>173429</v>
      </c>
      <c r="H220" s="13">
        <v>17</v>
      </c>
      <c r="I220" s="10">
        <v>12</v>
      </c>
      <c r="J220" s="10" t="s">
        <v>12</v>
      </c>
      <c r="K220" s="14">
        <v>0.5</v>
      </c>
      <c r="L220" s="10" t="s">
        <v>18</v>
      </c>
      <c r="M220" s="10" t="s">
        <v>3</v>
      </c>
      <c r="N220" s="10">
        <v>0</v>
      </c>
      <c r="O220" s="10"/>
    </row>
    <row r="221" spans="1:15" x14ac:dyDescent="0.25">
      <c r="A221" s="9" t="s">
        <v>269</v>
      </c>
      <c r="B221" s="15">
        <v>45545</v>
      </c>
      <c r="C221" s="9">
        <v>45</v>
      </c>
      <c r="D221" s="9" t="s">
        <v>9</v>
      </c>
      <c r="E221" s="16">
        <v>884221</v>
      </c>
      <c r="F221" s="9">
        <v>827</v>
      </c>
      <c r="G221" s="16">
        <v>648798</v>
      </c>
      <c r="H221" s="17">
        <v>10</v>
      </c>
      <c r="I221" s="9">
        <v>24</v>
      </c>
      <c r="J221" s="9" t="s">
        <v>9</v>
      </c>
      <c r="K221" s="18">
        <v>0.35</v>
      </c>
      <c r="L221" s="9" t="s">
        <v>20</v>
      </c>
      <c r="M221" s="9" t="s">
        <v>2</v>
      </c>
      <c r="N221" s="9">
        <v>0</v>
      </c>
      <c r="O221" s="9"/>
    </row>
    <row r="222" spans="1:15" x14ac:dyDescent="0.25">
      <c r="A222" s="10" t="s">
        <v>270</v>
      </c>
      <c r="B222" s="11">
        <v>45451</v>
      </c>
      <c r="C222" s="10">
        <v>51</v>
      </c>
      <c r="D222" s="10" t="s">
        <v>9</v>
      </c>
      <c r="E222" s="12">
        <v>1370587</v>
      </c>
      <c r="F222" s="10">
        <v>312</v>
      </c>
      <c r="G222" s="12">
        <v>396980</v>
      </c>
      <c r="H222" s="13">
        <v>6</v>
      </c>
      <c r="I222" s="10">
        <v>12</v>
      </c>
      <c r="J222" s="10" t="s">
        <v>9</v>
      </c>
      <c r="K222" s="14">
        <v>0.4</v>
      </c>
      <c r="L222" s="10" t="s">
        <v>18</v>
      </c>
      <c r="M222" s="10" t="s">
        <v>4</v>
      </c>
      <c r="N222" s="10">
        <v>0</v>
      </c>
      <c r="O222" s="10"/>
    </row>
    <row r="223" spans="1:15" x14ac:dyDescent="0.25">
      <c r="A223" s="9" t="s">
        <v>271</v>
      </c>
      <c r="B223" s="15">
        <v>45537</v>
      </c>
      <c r="C223" s="9">
        <v>22</v>
      </c>
      <c r="D223" s="9" t="s">
        <v>17</v>
      </c>
      <c r="E223" s="16">
        <v>502682</v>
      </c>
      <c r="F223" s="9">
        <v>840</v>
      </c>
      <c r="G223" s="16">
        <v>1239696</v>
      </c>
      <c r="H223" s="17">
        <v>12</v>
      </c>
      <c r="I223" s="9">
        <v>36</v>
      </c>
      <c r="J223" s="9" t="s">
        <v>14</v>
      </c>
      <c r="K223" s="18">
        <v>0.53</v>
      </c>
      <c r="L223" s="9" t="s">
        <v>19</v>
      </c>
      <c r="M223" s="9" t="s">
        <v>4</v>
      </c>
      <c r="N223" s="9">
        <v>1</v>
      </c>
      <c r="O223" s="9"/>
    </row>
    <row r="224" spans="1:15" x14ac:dyDescent="0.25">
      <c r="A224" s="10" t="s">
        <v>272</v>
      </c>
      <c r="B224" s="11">
        <v>45154</v>
      </c>
      <c r="C224" s="10">
        <v>38</v>
      </c>
      <c r="D224" s="10" t="s">
        <v>17</v>
      </c>
      <c r="E224" s="12">
        <v>2144346</v>
      </c>
      <c r="F224" s="10">
        <v>385</v>
      </c>
      <c r="G224" s="12">
        <v>1068986</v>
      </c>
      <c r="H224" s="13">
        <v>20</v>
      </c>
      <c r="I224" s="10">
        <v>24</v>
      </c>
      <c r="J224" s="10" t="s">
        <v>10</v>
      </c>
      <c r="K224" s="14">
        <v>0.34</v>
      </c>
      <c r="L224" s="10" t="s">
        <v>22</v>
      </c>
      <c r="M224" s="10" t="s">
        <v>3</v>
      </c>
      <c r="N224" s="10">
        <v>0</v>
      </c>
      <c r="O224" s="10"/>
    </row>
    <row r="225" spans="1:15" x14ac:dyDescent="0.25">
      <c r="A225" s="9" t="s">
        <v>273</v>
      </c>
      <c r="B225" s="15">
        <v>45694</v>
      </c>
      <c r="C225" s="9">
        <v>43</v>
      </c>
      <c r="D225" s="9" t="s">
        <v>9</v>
      </c>
      <c r="E225" s="16">
        <v>2392902</v>
      </c>
      <c r="F225" s="9">
        <v>332</v>
      </c>
      <c r="G225" s="16">
        <v>305425</v>
      </c>
      <c r="H225" s="17">
        <v>18</v>
      </c>
      <c r="I225" s="9">
        <v>24</v>
      </c>
      <c r="J225" s="9" t="s">
        <v>14</v>
      </c>
      <c r="K225" s="18">
        <v>0.32</v>
      </c>
      <c r="L225" s="9" t="s">
        <v>20</v>
      </c>
      <c r="M225" s="9" t="s">
        <v>5</v>
      </c>
      <c r="N225" s="9">
        <v>0</v>
      </c>
      <c r="O225" s="9"/>
    </row>
    <row r="226" spans="1:15" x14ac:dyDescent="0.25">
      <c r="A226" s="10" t="s">
        <v>274</v>
      </c>
      <c r="B226" s="11">
        <v>45225</v>
      </c>
      <c r="C226" s="10">
        <v>24</v>
      </c>
      <c r="D226" s="10" t="s">
        <v>17</v>
      </c>
      <c r="E226" s="12">
        <v>293161</v>
      </c>
      <c r="F226" s="10">
        <v>643</v>
      </c>
      <c r="G226" s="12">
        <v>293367</v>
      </c>
      <c r="H226" s="13">
        <v>6</v>
      </c>
      <c r="I226" s="10">
        <v>36</v>
      </c>
      <c r="J226" s="10" t="s">
        <v>11</v>
      </c>
      <c r="K226" s="14">
        <v>0.42</v>
      </c>
      <c r="L226" s="10" t="s">
        <v>21</v>
      </c>
      <c r="M226" s="10" t="s">
        <v>5</v>
      </c>
      <c r="N226" s="10">
        <v>1</v>
      </c>
      <c r="O226" s="10"/>
    </row>
    <row r="227" spans="1:15" x14ac:dyDescent="0.25">
      <c r="A227" s="9" t="s">
        <v>275</v>
      </c>
      <c r="B227" s="15">
        <v>45588</v>
      </c>
      <c r="C227" s="9">
        <v>53</v>
      </c>
      <c r="D227" s="9" t="s">
        <v>16</v>
      </c>
      <c r="E227" s="16">
        <v>1410193</v>
      </c>
      <c r="F227" s="9">
        <v>782</v>
      </c>
      <c r="G227" s="16">
        <v>582304</v>
      </c>
      <c r="H227" s="17">
        <v>17</v>
      </c>
      <c r="I227" s="9">
        <v>36</v>
      </c>
      <c r="J227" s="9" t="s">
        <v>10</v>
      </c>
      <c r="K227" s="18">
        <v>0.16</v>
      </c>
      <c r="L227" s="9" t="s">
        <v>21</v>
      </c>
      <c r="M227" s="9" t="s">
        <v>5</v>
      </c>
      <c r="N227" s="9">
        <v>0</v>
      </c>
      <c r="O227" s="9"/>
    </row>
    <row r="228" spans="1:15" x14ac:dyDescent="0.25">
      <c r="A228" s="10" t="s">
        <v>276</v>
      </c>
      <c r="B228" s="11">
        <v>45951</v>
      </c>
      <c r="C228" s="10">
        <v>48</v>
      </c>
      <c r="D228" s="10" t="s">
        <v>9</v>
      </c>
      <c r="E228" s="12">
        <v>485694</v>
      </c>
      <c r="F228" s="10">
        <v>405</v>
      </c>
      <c r="G228" s="12">
        <v>1606053</v>
      </c>
      <c r="H228" s="13">
        <v>22</v>
      </c>
      <c r="I228" s="10">
        <v>24</v>
      </c>
      <c r="J228" s="10" t="s">
        <v>14</v>
      </c>
      <c r="K228" s="14">
        <v>0.37</v>
      </c>
      <c r="L228" s="10" t="s">
        <v>19</v>
      </c>
      <c r="M228" s="10" t="s">
        <v>3</v>
      </c>
      <c r="N228" s="10">
        <v>1</v>
      </c>
      <c r="O228" s="10"/>
    </row>
    <row r="229" spans="1:15" x14ac:dyDescent="0.25">
      <c r="A229" s="9" t="s">
        <v>277</v>
      </c>
      <c r="B229" s="15">
        <v>45637</v>
      </c>
      <c r="C229" s="9">
        <v>53</v>
      </c>
      <c r="D229" s="9" t="s">
        <v>16</v>
      </c>
      <c r="E229" s="16">
        <v>2360636</v>
      </c>
      <c r="F229" s="9">
        <v>428</v>
      </c>
      <c r="G229" s="16">
        <v>1301400</v>
      </c>
      <c r="H229" s="17">
        <v>24</v>
      </c>
      <c r="I229" s="9">
        <v>36</v>
      </c>
      <c r="J229" s="9" t="s">
        <v>12</v>
      </c>
      <c r="K229" s="18">
        <v>0.52</v>
      </c>
      <c r="L229" s="9" t="s">
        <v>22</v>
      </c>
      <c r="M229" s="9" t="s">
        <v>5</v>
      </c>
      <c r="N229" s="9">
        <v>1</v>
      </c>
      <c r="O229" s="9"/>
    </row>
    <row r="230" spans="1:15" x14ac:dyDescent="0.25">
      <c r="A230" s="10" t="s">
        <v>278</v>
      </c>
      <c r="B230" s="11">
        <v>45174</v>
      </c>
      <c r="C230" s="10">
        <v>61</v>
      </c>
      <c r="D230" s="10" t="s">
        <v>16</v>
      </c>
      <c r="E230" s="12">
        <v>687920</v>
      </c>
      <c r="F230" s="10">
        <v>479</v>
      </c>
      <c r="G230" s="12">
        <v>1904582</v>
      </c>
      <c r="H230" s="13">
        <v>18</v>
      </c>
      <c r="I230" s="10">
        <v>60</v>
      </c>
      <c r="J230" s="10" t="s">
        <v>10</v>
      </c>
      <c r="K230" s="14">
        <v>0.49</v>
      </c>
      <c r="L230" s="10" t="s">
        <v>19</v>
      </c>
      <c r="M230" s="10" t="s">
        <v>3</v>
      </c>
      <c r="N230" s="10">
        <v>0</v>
      </c>
      <c r="O230" s="10"/>
    </row>
    <row r="231" spans="1:15" x14ac:dyDescent="0.25">
      <c r="A231" s="9" t="s">
        <v>279</v>
      </c>
      <c r="B231" s="15">
        <v>45409</v>
      </c>
      <c r="C231" s="9">
        <v>31</v>
      </c>
      <c r="D231" s="9" t="s">
        <v>17</v>
      </c>
      <c r="E231" s="16">
        <v>2235062</v>
      </c>
      <c r="F231" s="9">
        <v>310</v>
      </c>
      <c r="G231" s="16">
        <v>1989383</v>
      </c>
      <c r="H231" s="17">
        <v>8</v>
      </c>
      <c r="I231" s="9">
        <v>24</v>
      </c>
      <c r="J231" s="9" t="s">
        <v>14</v>
      </c>
      <c r="K231" s="18">
        <v>0.19</v>
      </c>
      <c r="L231" s="9" t="s">
        <v>22</v>
      </c>
      <c r="M231" s="9" t="s">
        <v>2</v>
      </c>
      <c r="N231" s="9">
        <v>1</v>
      </c>
      <c r="O231" s="9"/>
    </row>
    <row r="232" spans="1:15" x14ac:dyDescent="0.25">
      <c r="A232" s="10" t="s">
        <v>280</v>
      </c>
      <c r="B232" s="11">
        <v>45261</v>
      </c>
      <c r="C232" s="10">
        <v>24</v>
      </c>
      <c r="D232" s="10" t="s">
        <v>9</v>
      </c>
      <c r="E232" s="12">
        <v>1042393</v>
      </c>
      <c r="F232" s="10">
        <v>366</v>
      </c>
      <c r="G232" s="12">
        <v>736336</v>
      </c>
      <c r="H232" s="13">
        <v>15</v>
      </c>
      <c r="I232" s="10">
        <v>60</v>
      </c>
      <c r="J232" s="10" t="s">
        <v>12</v>
      </c>
      <c r="K232" s="14">
        <v>0.11</v>
      </c>
      <c r="L232" s="10" t="s">
        <v>22</v>
      </c>
      <c r="M232" s="10" t="s">
        <v>5</v>
      </c>
      <c r="N232" s="10">
        <v>0</v>
      </c>
      <c r="O232" s="10"/>
    </row>
    <row r="233" spans="1:15" x14ac:dyDescent="0.25">
      <c r="A233" s="9" t="s">
        <v>281</v>
      </c>
      <c r="B233" s="15">
        <v>45695</v>
      </c>
      <c r="C233" s="9">
        <v>29</v>
      </c>
      <c r="D233" s="9" t="s">
        <v>16</v>
      </c>
      <c r="E233" s="16">
        <v>471142</v>
      </c>
      <c r="F233" s="9">
        <v>311</v>
      </c>
      <c r="G233" s="16">
        <v>1579225</v>
      </c>
      <c r="H233" s="17">
        <v>20</v>
      </c>
      <c r="I233" s="9">
        <v>60</v>
      </c>
      <c r="J233" s="9" t="s">
        <v>13</v>
      </c>
      <c r="K233" s="18">
        <v>0.2</v>
      </c>
      <c r="L233" s="9" t="s">
        <v>20</v>
      </c>
      <c r="M233" s="9" t="s">
        <v>5</v>
      </c>
      <c r="N233" s="9">
        <v>0</v>
      </c>
      <c r="O233" s="9"/>
    </row>
    <row r="234" spans="1:15" x14ac:dyDescent="0.25">
      <c r="A234" s="10" t="s">
        <v>282</v>
      </c>
      <c r="B234" s="11">
        <v>44943</v>
      </c>
      <c r="C234" s="10">
        <v>34</v>
      </c>
      <c r="D234" s="10" t="s">
        <v>17</v>
      </c>
      <c r="E234" s="12">
        <v>650331</v>
      </c>
      <c r="F234" s="10">
        <v>812</v>
      </c>
      <c r="G234" s="12">
        <v>1273985</v>
      </c>
      <c r="H234" s="13">
        <v>22</v>
      </c>
      <c r="I234" s="10">
        <v>24</v>
      </c>
      <c r="J234" s="10" t="s">
        <v>12</v>
      </c>
      <c r="K234" s="14">
        <v>0.13</v>
      </c>
      <c r="L234" s="10" t="s">
        <v>21</v>
      </c>
      <c r="M234" s="10" t="s">
        <v>4</v>
      </c>
      <c r="N234" s="10">
        <v>0</v>
      </c>
      <c r="O234" s="10"/>
    </row>
    <row r="235" spans="1:15" x14ac:dyDescent="0.25">
      <c r="A235" s="9" t="s">
        <v>283</v>
      </c>
      <c r="B235" s="15">
        <v>45401</v>
      </c>
      <c r="C235" s="9">
        <v>28</v>
      </c>
      <c r="D235" s="9" t="s">
        <v>16</v>
      </c>
      <c r="E235" s="16">
        <v>1538728</v>
      </c>
      <c r="F235" s="9">
        <v>731</v>
      </c>
      <c r="G235" s="16">
        <v>1538844</v>
      </c>
      <c r="H235" s="17">
        <v>8</v>
      </c>
      <c r="I235" s="9">
        <v>24</v>
      </c>
      <c r="J235" s="9" t="s">
        <v>11</v>
      </c>
      <c r="K235" s="18">
        <v>0.18</v>
      </c>
      <c r="L235" s="9" t="s">
        <v>21</v>
      </c>
      <c r="M235" s="9" t="s">
        <v>2</v>
      </c>
      <c r="N235" s="9">
        <v>0</v>
      </c>
      <c r="O235" s="9"/>
    </row>
    <row r="236" spans="1:15" x14ac:dyDescent="0.25">
      <c r="A236" s="10" t="s">
        <v>284</v>
      </c>
      <c r="B236" s="11">
        <v>45633</v>
      </c>
      <c r="C236" s="10">
        <v>23</v>
      </c>
      <c r="D236" s="10" t="s">
        <v>17</v>
      </c>
      <c r="E236" s="12">
        <v>2378535</v>
      </c>
      <c r="F236" s="10">
        <v>742</v>
      </c>
      <c r="G236" s="12">
        <v>817972</v>
      </c>
      <c r="H236" s="13">
        <v>17</v>
      </c>
      <c r="I236" s="10">
        <v>36</v>
      </c>
      <c r="J236" s="10" t="s">
        <v>12</v>
      </c>
      <c r="K236" s="14">
        <v>0.25</v>
      </c>
      <c r="L236" s="10" t="s">
        <v>19</v>
      </c>
      <c r="M236" s="10" t="s">
        <v>3</v>
      </c>
      <c r="N236" s="10">
        <v>1</v>
      </c>
      <c r="O236" s="10"/>
    </row>
    <row r="237" spans="1:15" x14ac:dyDescent="0.25">
      <c r="A237" s="9" t="s">
        <v>285</v>
      </c>
      <c r="B237" s="15">
        <v>45232</v>
      </c>
      <c r="C237" s="9">
        <v>25</v>
      </c>
      <c r="D237" s="9" t="s">
        <v>16</v>
      </c>
      <c r="E237" s="16">
        <v>542113</v>
      </c>
      <c r="F237" s="9">
        <v>775</v>
      </c>
      <c r="G237" s="16">
        <v>541458</v>
      </c>
      <c r="H237" s="17">
        <v>21</v>
      </c>
      <c r="I237" s="9">
        <v>24</v>
      </c>
      <c r="J237" s="9" t="s">
        <v>10</v>
      </c>
      <c r="K237" s="18">
        <v>0.33</v>
      </c>
      <c r="L237" s="9" t="s">
        <v>20</v>
      </c>
      <c r="M237" s="9" t="s">
        <v>2</v>
      </c>
      <c r="N237" s="9">
        <v>0</v>
      </c>
      <c r="O237" s="9"/>
    </row>
    <row r="238" spans="1:15" x14ac:dyDescent="0.25">
      <c r="A238" s="10" t="s">
        <v>286</v>
      </c>
      <c r="B238" s="11">
        <v>45203</v>
      </c>
      <c r="C238" s="10">
        <v>40</v>
      </c>
      <c r="D238" s="10" t="s">
        <v>17</v>
      </c>
      <c r="E238" s="12">
        <v>2208627</v>
      </c>
      <c r="F238" s="10">
        <v>395</v>
      </c>
      <c r="G238" s="12">
        <v>1027797</v>
      </c>
      <c r="H238" s="13">
        <v>10</v>
      </c>
      <c r="I238" s="10">
        <v>12</v>
      </c>
      <c r="J238" s="10" t="s">
        <v>13</v>
      </c>
      <c r="K238" s="14">
        <v>0.13</v>
      </c>
      <c r="L238" s="10" t="s">
        <v>19</v>
      </c>
      <c r="M238" s="10" t="s">
        <v>3</v>
      </c>
      <c r="N238" s="10">
        <v>0</v>
      </c>
      <c r="O238" s="10"/>
    </row>
    <row r="239" spans="1:15" x14ac:dyDescent="0.25">
      <c r="A239" s="9" t="s">
        <v>287</v>
      </c>
      <c r="B239" s="15">
        <v>45628</v>
      </c>
      <c r="C239" s="9">
        <v>24</v>
      </c>
      <c r="D239" s="9" t="s">
        <v>17</v>
      </c>
      <c r="E239" s="16">
        <v>1589093</v>
      </c>
      <c r="F239" s="9">
        <v>514</v>
      </c>
      <c r="G239" s="16">
        <v>711454</v>
      </c>
      <c r="H239" s="17">
        <v>17</v>
      </c>
      <c r="I239" s="9">
        <v>36</v>
      </c>
      <c r="J239" s="9" t="s">
        <v>9</v>
      </c>
      <c r="K239" s="18">
        <v>0.52</v>
      </c>
      <c r="L239" s="9" t="s">
        <v>19</v>
      </c>
      <c r="M239" s="9" t="s">
        <v>4</v>
      </c>
      <c r="N239" s="9">
        <v>1</v>
      </c>
      <c r="O239" s="9"/>
    </row>
    <row r="240" spans="1:15" x14ac:dyDescent="0.25">
      <c r="A240" s="10" t="s">
        <v>288</v>
      </c>
      <c r="B240" s="11">
        <v>45681</v>
      </c>
      <c r="C240" s="10">
        <v>58</v>
      </c>
      <c r="D240" s="10" t="s">
        <v>17</v>
      </c>
      <c r="E240" s="12">
        <v>367198</v>
      </c>
      <c r="F240" s="10">
        <v>367</v>
      </c>
      <c r="G240" s="12">
        <v>1315444</v>
      </c>
      <c r="H240" s="13">
        <v>13</v>
      </c>
      <c r="I240" s="10">
        <v>24</v>
      </c>
      <c r="J240" s="10" t="s">
        <v>11</v>
      </c>
      <c r="K240" s="14">
        <v>0.19</v>
      </c>
      <c r="L240" s="10" t="s">
        <v>20</v>
      </c>
      <c r="M240" s="10" t="s">
        <v>4</v>
      </c>
      <c r="N240" s="10">
        <v>0</v>
      </c>
      <c r="O240" s="10"/>
    </row>
    <row r="241" spans="1:15" x14ac:dyDescent="0.25">
      <c r="A241" s="9" t="s">
        <v>289</v>
      </c>
      <c r="B241" s="15">
        <v>45546</v>
      </c>
      <c r="C241" s="9">
        <v>53</v>
      </c>
      <c r="D241" s="9" t="s">
        <v>17</v>
      </c>
      <c r="E241" s="16">
        <v>1340904</v>
      </c>
      <c r="F241" s="9">
        <v>672</v>
      </c>
      <c r="G241" s="16">
        <v>1232094</v>
      </c>
      <c r="H241" s="17">
        <v>15</v>
      </c>
      <c r="I241" s="9">
        <v>12</v>
      </c>
      <c r="J241" s="9" t="s">
        <v>14</v>
      </c>
      <c r="K241" s="18">
        <v>0.25</v>
      </c>
      <c r="L241" s="9" t="s">
        <v>20</v>
      </c>
      <c r="M241" s="9" t="s">
        <v>2</v>
      </c>
      <c r="N241" s="9">
        <v>0</v>
      </c>
      <c r="O241" s="9"/>
    </row>
    <row r="242" spans="1:15" x14ac:dyDescent="0.25">
      <c r="A242" s="10" t="s">
        <v>290</v>
      </c>
      <c r="B242" s="11">
        <v>45260</v>
      </c>
      <c r="C242" s="10">
        <v>42</v>
      </c>
      <c r="D242" s="10" t="s">
        <v>17</v>
      </c>
      <c r="E242" s="12">
        <v>2087027</v>
      </c>
      <c r="F242" s="10">
        <v>678</v>
      </c>
      <c r="G242" s="12">
        <v>1177870</v>
      </c>
      <c r="H242" s="13">
        <v>7</v>
      </c>
      <c r="I242" s="10">
        <v>60</v>
      </c>
      <c r="J242" s="10" t="s">
        <v>11</v>
      </c>
      <c r="K242" s="14">
        <v>0.14000000000000001</v>
      </c>
      <c r="L242" s="10" t="s">
        <v>22</v>
      </c>
      <c r="M242" s="10" t="s">
        <v>2</v>
      </c>
      <c r="N242" s="10">
        <v>0</v>
      </c>
      <c r="O242" s="10"/>
    </row>
    <row r="243" spans="1:15" x14ac:dyDescent="0.25">
      <c r="A243" s="9" t="s">
        <v>291</v>
      </c>
      <c r="B243" s="15">
        <v>45621</v>
      </c>
      <c r="C243" s="9">
        <v>25</v>
      </c>
      <c r="D243" s="9" t="s">
        <v>16</v>
      </c>
      <c r="E243" s="16">
        <v>1673493</v>
      </c>
      <c r="F243" s="9">
        <v>767</v>
      </c>
      <c r="G243" s="16">
        <v>574826</v>
      </c>
      <c r="H243" s="17">
        <v>18</v>
      </c>
      <c r="I243" s="9">
        <v>12</v>
      </c>
      <c r="J243" s="9" t="s">
        <v>12</v>
      </c>
      <c r="K243" s="18">
        <v>0.38</v>
      </c>
      <c r="L243" s="9" t="s">
        <v>22</v>
      </c>
      <c r="M243" s="9" t="s">
        <v>2</v>
      </c>
      <c r="N243" s="9">
        <v>0</v>
      </c>
      <c r="O243" s="9"/>
    </row>
    <row r="244" spans="1:15" x14ac:dyDescent="0.25">
      <c r="A244" s="10" t="s">
        <v>292</v>
      </c>
      <c r="B244" s="11">
        <v>45078</v>
      </c>
      <c r="C244" s="10">
        <v>52</v>
      </c>
      <c r="D244" s="10" t="s">
        <v>9</v>
      </c>
      <c r="E244" s="12">
        <v>321920</v>
      </c>
      <c r="F244" s="10">
        <v>849</v>
      </c>
      <c r="G244" s="12">
        <v>1832590</v>
      </c>
      <c r="H244" s="13">
        <v>10</v>
      </c>
      <c r="I244" s="10">
        <v>36</v>
      </c>
      <c r="J244" s="10" t="s">
        <v>10</v>
      </c>
      <c r="K244" s="14">
        <v>0.4</v>
      </c>
      <c r="L244" s="10" t="s">
        <v>21</v>
      </c>
      <c r="M244" s="10" t="s">
        <v>4</v>
      </c>
      <c r="N244" s="10">
        <v>0</v>
      </c>
      <c r="O244" s="10"/>
    </row>
    <row r="245" spans="1:15" x14ac:dyDescent="0.25">
      <c r="A245" s="9" t="s">
        <v>293</v>
      </c>
      <c r="B245" s="15">
        <v>45909</v>
      </c>
      <c r="C245" s="9">
        <v>36</v>
      </c>
      <c r="D245" s="9" t="s">
        <v>17</v>
      </c>
      <c r="E245" s="16">
        <v>1698229</v>
      </c>
      <c r="F245" s="9">
        <v>633</v>
      </c>
      <c r="G245" s="16">
        <v>1315288</v>
      </c>
      <c r="H245" s="17">
        <v>14</v>
      </c>
      <c r="I245" s="9">
        <v>60</v>
      </c>
      <c r="J245" s="9" t="s">
        <v>10</v>
      </c>
      <c r="K245" s="18">
        <v>0.11</v>
      </c>
      <c r="L245" s="9" t="s">
        <v>21</v>
      </c>
      <c r="M245" s="9" t="s">
        <v>2</v>
      </c>
      <c r="N245" s="9">
        <v>0</v>
      </c>
      <c r="O245" s="9"/>
    </row>
    <row r="246" spans="1:15" x14ac:dyDescent="0.25">
      <c r="A246" s="10" t="s">
        <v>294</v>
      </c>
      <c r="B246" s="11">
        <v>45056</v>
      </c>
      <c r="C246" s="10">
        <v>56</v>
      </c>
      <c r="D246" s="10" t="s">
        <v>16</v>
      </c>
      <c r="E246" s="12">
        <v>513186</v>
      </c>
      <c r="F246" s="10">
        <v>481</v>
      </c>
      <c r="G246" s="12">
        <v>638915</v>
      </c>
      <c r="H246" s="13">
        <v>21</v>
      </c>
      <c r="I246" s="10">
        <v>24</v>
      </c>
      <c r="J246" s="10" t="s">
        <v>11</v>
      </c>
      <c r="K246" s="14">
        <v>0.59</v>
      </c>
      <c r="L246" s="10" t="s">
        <v>22</v>
      </c>
      <c r="M246" s="10" t="s">
        <v>3</v>
      </c>
      <c r="N246" s="10">
        <v>1</v>
      </c>
      <c r="O246" s="10"/>
    </row>
    <row r="247" spans="1:15" x14ac:dyDescent="0.25">
      <c r="A247" s="9" t="s">
        <v>295</v>
      </c>
      <c r="B247" s="15">
        <v>45733</v>
      </c>
      <c r="C247" s="9">
        <v>64</v>
      </c>
      <c r="D247" s="9" t="s">
        <v>17</v>
      </c>
      <c r="E247" s="16">
        <v>2287846</v>
      </c>
      <c r="F247" s="9">
        <v>576</v>
      </c>
      <c r="G247" s="16">
        <v>1862095</v>
      </c>
      <c r="H247" s="17">
        <v>17</v>
      </c>
      <c r="I247" s="9">
        <v>60</v>
      </c>
      <c r="J247" s="9" t="s">
        <v>11</v>
      </c>
      <c r="K247" s="18">
        <v>0.53</v>
      </c>
      <c r="L247" s="9" t="s">
        <v>21</v>
      </c>
      <c r="M247" s="9" t="s">
        <v>2</v>
      </c>
      <c r="N247" s="9">
        <v>1</v>
      </c>
      <c r="O247" s="9"/>
    </row>
    <row r="248" spans="1:15" x14ac:dyDescent="0.25">
      <c r="A248" s="10" t="s">
        <v>296</v>
      </c>
      <c r="B248" s="11">
        <v>45220</v>
      </c>
      <c r="C248" s="10">
        <v>49</v>
      </c>
      <c r="D248" s="10" t="s">
        <v>17</v>
      </c>
      <c r="E248" s="12">
        <v>1833822</v>
      </c>
      <c r="F248" s="10">
        <v>833</v>
      </c>
      <c r="G248" s="12">
        <v>1081672</v>
      </c>
      <c r="H248" s="13">
        <v>17</v>
      </c>
      <c r="I248" s="10">
        <v>24</v>
      </c>
      <c r="J248" s="10" t="s">
        <v>14</v>
      </c>
      <c r="K248" s="14">
        <v>0.44</v>
      </c>
      <c r="L248" s="10" t="s">
        <v>18</v>
      </c>
      <c r="M248" s="10" t="s">
        <v>3</v>
      </c>
      <c r="N248" s="10">
        <v>0</v>
      </c>
      <c r="O248" s="10"/>
    </row>
    <row r="249" spans="1:15" x14ac:dyDescent="0.25">
      <c r="A249" s="9" t="s">
        <v>297</v>
      </c>
      <c r="B249" s="15">
        <v>45130</v>
      </c>
      <c r="C249" s="9">
        <v>38</v>
      </c>
      <c r="D249" s="9" t="s">
        <v>9</v>
      </c>
      <c r="E249" s="16">
        <v>795851</v>
      </c>
      <c r="F249" s="9">
        <v>317</v>
      </c>
      <c r="G249" s="16">
        <v>295677</v>
      </c>
      <c r="H249" s="17">
        <v>12</v>
      </c>
      <c r="I249" s="9">
        <v>36</v>
      </c>
      <c r="J249" s="9" t="s">
        <v>11</v>
      </c>
      <c r="K249" s="18">
        <v>0.46</v>
      </c>
      <c r="L249" s="9" t="s">
        <v>22</v>
      </c>
      <c r="M249" s="9" t="s">
        <v>2</v>
      </c>
      <c r="N249" s="9">
        <v>1</v>
      </c>
      <c r="O249" s="9"/>
    </row>
    <row r="250" spans="1:15" x14ac:dyDescent="0.25">
      <c r="A250" s="10" t="s">
        <v>298</v>
      </c>
      <c r="B250" s="11">
        <v>45491</v>
      </c>
      <c r="C250" s="10">
        <v>64</v>
      </c>
      <c r="D250" s="10" t="s">
        <v>9</v>
      </c>
      <c r="E250" s="12">
        <v>1778223</v>
      </c>
      <c r="F250" s="10">
        <v>762</v>
      </c>
      <c r="G250" s="12">
        <v>1455373</v>
      </c>
      <c r="H250" s="13">
        <v>24</v>
      </c>
      <c r="I250" s="10">
        <v>36</v>
      </c>
      <c r="J250" s="10" t="s">
        <v>13</v>
      </c>
      <c r="K250" s="14">
        <v>0.25</v>
      </c>
      <c r="L250" s="10" t="s">
        <v>20</v>
      </c>
      <c r="M250" s="10" t="s">
        <v>4</v>
      </c>
      <c r="N250" s="10">
        <v>0</v>
      </c>
      <c r="O250" s="10"/>
    </row>
    <row r="251" spans="1:15" x14ac:dyDescent="0.25">
      <c r="A251" s="9" t="s">
        <v>299</v>
      </c>
      <c r="B251" s="15">
        <v>45333</v>
      </c>
      <c r="C251" s="9">
        <v>37</v>
      </c>
      <c r="D251" s="9" t="s">
        <v>17</v>
      </c>
      <c r="E251" s="16">
        <v>386157</v>
      </c>
      <c r="F251" s="9">
        <v>607</v>
      </c>
      <c r="G251" s="16">
        <v>744297</v>
      </c>
      <c r="H251" s="17">
        <v>7</v>
      </c>
      <c r="I251" s="9">
        <v>12</v>
      </c>
      <c r="J251" s="9" t="s">
        <v>13</v>
      </c>
      <c r="K251" s="18">
        <v>0.44</v>
      </c>
      <c r="L251" s="9" t="s">
        <v>18</v>
      </c>
      <c r="M251" s="9" t="s">
        <v>3</v>
      </c>
      <c r="N251" s="9">
        <v>0</v>
      </c>
      <c r="O251" s="9"/>
    </row>
    <row r="252" spans="1:15" x14ac:dyDescent="0.25">
      <c r="A252" s="10" t="s">
        <v>300</v>
      </c>
      <c r="B252" s="11">
        <v>45024</v>
      </c>
      <c r="C252" s="10">
        <v>37</v>
      </c>
      <c r="D252" s="10" t="s">
        <v>9</v>
      </c>
      <c r="E252" s="12">
        <v>1968695</v>
      </c>
      <c r="F252" s="10">
        <v>441</v>
      </c>
      <c r="G252" s="12">
        <v>830901</v>
      </c>
      <c r="H252" s="13">
        <v>24</v>
      </c>
      <c r="I252" s="10">
        <v>12</v>
      </c>
      <c r="J252" s="10" t="s">
        <v>14</v>
      </c>
      <c r="K252" s="14">
        <v>0.12</v>
      </c>
      <c r="L252" s="10" t="s">
        <v>22</v>
      </c>
      <c r="M252" s="10" t="s">
        <v>4</v>
      </c>
      <c r="N252" s="10">
        <v>0</v>
      </c>
      <c r="O252" s="10"/>
    </row>
    <row r="253" spans="1:15" x14ac:dyDescent="0.25">
      <c r="A253" s="9" t="s">
        <v>301</v>
      </c>
      <c r="B253" s="15">
        <v>45388</v>
      </c>
      <c r="C253" s="9">
        <v>57</v>
      </c>
      <c r="D253" s="9" t="s">
        <v>16</v>
      </c>
      <c r="E253" s="16">
        <v>722787</v>
      </c>
      <c r="F253" s="9">
        <v>482</v>
      </c>
      <c r="G253" s="16">
        <v>1796199</v>
      </c>
      <c r="H253" s="17">
        <v>24</v>
      </c>
      <c r="I253" s="9">
        <v>36</v>
      </c>
      <c r="J253" s="9" t="s">
        <v>9</v>
      </c>
      <c r="K253" s="18">
        <v>0.16</v>
      </c>
      <c r="L253" s="9" t="s">
        <v>19</v>
      </c>
      <c r="M253" s="9" t="s">
        <v>3</v>
      </c>
      <c r="N253" s="9">
        <v>1</v>
      </c>
      <c r="O253" s="9"/>
    </row>
    <row r="254" spans="1:15" x14ac:dyDescent="0.25">
      <c r="A254" s="10" t="s">
        <v>302</v>
      </c>
      <c r="B254" s="11">
        <v>45231</v>
      </c>
      <c r="C254" s="10">
        <v>30</v>
      </c>
      <c r="D254" s="10" t="s">
        <v>9</v>
      </c>
      <c r="E254" s="12">
        <v>413624</v>
      </c>
      <c r="F254" s="10">
        <v>646</v>
      </c>
      <c r="G254" s="12">
        <v>1363622</v>
      </c>
      <c r="H254" s="13">
        <v>20</v>
      </c>
      <c r="I254" s="10">
        <v>24</v>
      </c>
      <c r="J254" s="10" t="s">
        <v>13</v>
      </c>
      <c r="K254" s="14">
        <v>0.46</v>
      </c>
      <c r="L254" s="10" t="s">
        <v>19</v>
      </c>
      <c r="M254" s="10" t="s">
        <v>2</v>
      </c>
      <c r="N254" s="10">
        <v>0</v>
      </c>
      <c r="O254" s="10"/>
    </row>
    <row r="255" spans="1:15" x14ac:dyDescent="0.25">
      <c r="A255" s="9" t="s">
        <v>303</v>
      </c>
      <c r="B255" s="15">
        <v>45503</v>
      </c>
      <c r="C255" s="9">
        <v>31</v>
      </c>
      <c r="D255" s="9" t="s">
        <v>16</v>
      </c>
      <c r="E255" s="16">
        <v>283694</v>
      </c>
      <c r="F255" s="9">
        <v>597</v>
      </c>
      <c r="G255" s="16">
        <v>1751041</v>
      </c>
      <c r="H255" s="17">
        <v>8</v>
      </c>
      <c r="I255" s="9">
        <v>60</v>
      </c>
      <c r="J255" s="9" t="s">
        <v>10</v>
      </c>
      <c r="K255" s="18">
        <v>0.27</v>
      </c>
      <c r="L255" s="9" t="s">
        <v>21</v>
      </c>
      <c r="M255" s="9" t="s">
        <v>3</v>
      </c>
      <c r="N255" s="9">
        <v>0</v>
      </c>
      <c r="O255" s="9"/>
    </row>
    <row r="256" spans="1:15" x14ac:dyDescent="0.25">
      <c r="A256" s="10" t="s">
        <v>304</v>
      </c>
      <c r="B256" s="11">
        <v>45911</v>
      </c>
      <c r="C256" s="10">
        <v>45</v>
      </c>
      <c r="D256" s="10" t="s">
        <v>17</v>
      </c>
      <c r="E256" s="12">
        <v>928266</v>
      </c>
      <c r="F256" s="10">
        <v>390</v>
      </c>
      <c r="G256" s="12">
        <v>1174234</v>
      </c>
      <c r="H256" s="13">
        <v>20</v>
      </c>
      <c r="I256" s="10">
        <v>36</v>
      </c>
      <c r="J256" s="10" t="s">
        <v>12</v>
      </c>
      <c r="K256" s="14">
        <v>0.35</v>
      </c>
      <c r="L256" s="10" t="s">
        <v>21</v>
      </c>
      <c r="M256" s="10" t="s">
        <v>3</v>
      </c>
      <c r="N256" s="10">
        <v>1</v>
      </c>
      <c r="O256" s="10"/>
    </row>
    <row r="257" spans="1:15" x14ac:dyDescent="0.25">
      <c r="A257" s="9" t="s">
        <v>305</v>
      </c>
      <c r="B257" s="15">
        <v>45904</v>
      </c>
      <c r="C257" s="9">
        <v>50</v>
      </c>
      <c r="D257" s="9" t="s">
        <v>16</v>
      </c>
      <c r="E257" s="16">
        <v>1332815</v>
      </c>
      <c r="F257" s="9">
        <v>791</v>
      </c>
      <c r="G257" s="16">
        <v>1225759</v>
      </c>
      <c r="H257" s="17">
        <v>15</v>
      </c>
      <c r="I257" s="9">
        <v>36</v>
      </c>
      <c r="J257" s="9" t="s">
        <v>14</v>
      </c>
      <c r="K257" s="18">
        <v>0.42</v>
      </c>
      <c r="L257" s="9" t="s">
        <v>19</v>
      </c>
      <c r="M257" s="9" t="s">
        <v>3</v>
      </c>
      <c r="N257" s="9">
        <v>0</v>
      </c>
      <c r="O257" s="9"/>
    </row>
    <row r="258" spans="1:15" x14ac:dyDescent="0.25">
      <c r="A258" s="10" t="s">
        <v>306</v>
      </c>
      <c r="B258" s="11">
        <v>45444</v>
      </c>
      <c r="C258" s="10">
        <v>51</v>
      </c>
      <c r="D258" s="10" t="s">
        <v>16</v>
      </c>
      <c r="E258" s="12">
        <v>1920211</v>
      </c>
      <c r="F258" s="10">
        <v>367</v>
      </c>
      <c r="G258" s="12">
        <v>221745</v>
      </c>
      <c r="H258" s="13">
        <v>12</v>
      </c>
      <c r="I258" s="10">
        <v>36</v>
      </c>
      <c r="J258" s="10" t="s">
        <v>11</v>
      </c>
      <c r="K258" s="14">
        <v>0.39</v>
      </c>
      <c r="L258" s="10" t="s">
        <v>21</v>
      </c>
      <c r="M258" s="10" t="s">
        <v>3</v>
      </c>
      <c r="N258" s="10">
        <v>0</v>
      </c>
      <c r="O258" s="10"/>
    </row>
    <row r="259" spans="1:15" x14ac:dyDescent="0.25">
      <c r="A259" s="9" t="s">
        <v>307</v>
      </c>
      <c r="B259" s="15">
        <v>45322</v>
      </c>
      <c r="C259" s="9">
        <v>26</v>
      </c>
      <c r="D259" s="9" t="s">
        <v>17</v>
      </c>
      <c r="E259" s="16">
        <v>839365</v>
      </c>
      <c r="F259" s="9">
        <v>606</v>
      </c>
      <c r="G259" s="16">
        <v>1081048</v>
      </c>
      <c r="H259" s="17">
        <v>9</v>
      </c>
      <c r="I259" s="9">
        <v>36</v>
      </c>
      <c r="J259" s="9" t="s">
        <v>11</v>
      </c>
      <c r="K259" s="18">
        <v>0.39</v>
      </c>
      <c r="L259" s="9" t="s">
        <v>20</v>
      </c>
      <c r="M259" s="9" t="s">
        <v>4</v>
      </c>
      <c r="N259" s="9">
        <v>0</v>
      </c>
      <c r="O259" s="9"/>
    </row>
    <row r="260" spans="1:15" x14ac:dyDescent="0.25">
      <c r="A260" s="10" t="s">
        <v>308</v>
      </c>
      <c r="B260" s="11">
        <v>45135</v>
      </c>
      <c r="C260" s="10">
        <v>27</v>
      </c>
      <c r="D260" s="10" t="s">
        <v>16</v>
      </c>
      <c r="E260" s="12">
        <v>614349</v>
      </c>
      <c r="F260" s="10">
        <v>638</v>
      </c>
      <c r="G260" s="12">
        <v>505586</v>
      </c>
      <c r="H260" s="13">
        <v>14</v>
      </c>
      <c r="I260" s="10">
        <v>60</v>
      </c>
      <c r="J260" s="10" t="s">
        <v>10</v>
      </c>
      <c r="K260" s="14">
        <v>0.48</v>
      </c>
      <c r="L260" s="10" t="s">
        <v>19</v>
      </c>
      <c r="M260" s="10" t="s">
        <v>2</v>
      </c>
      <c r="N260" s="10">
        <v>0</v>
      </c>
      <c r="O260" s="10"/>
    </row>
    <row r="261" spans="1:15" x14ac:dyDescent="0.25">
      <c r="A261" s="9" t="s">
        <v>309</v>
      </c>
      <c r="B261" s="15">
        <v>45711</v>
      </c>
      <c r="C261" s="9">
        <v>45</v>
      </c>
      <c r="D261" s="9" t="s">
        <v>16</v>
      </c>
      <c r="E261" s="16">
        <v>2252579</v>
      </c>
      <c r="F261" s="9">
        <v>641</v>
      </c>
      <c r="G261" s="16">
        <v>632375</v>
      </c>
      <c r="H261" s="17">
        <v>17</v>
      </c>
      <c r="I261" s="9">
        <v>60</v>
      </c>
      <c r="J261" s="9" t="s">
        <v>14</v>
      </c>
      <c r="K261" s="18">
        <v>0.43</v>
      </c>
      <c r="L261" s="9" t="s">
        <v>19</v>
      </c>
      <c r="M261" s="9" t="s">
        <v>3</v>
      </c>
      <c r="N261" s="9">
        <v>0</v>
      </c>
      <c r="O261" s="9"/>
    </row>
    <row r="262" spans="1:15" x14ac:dyDescent="0.25">
      <c r="A262" s="10" t="s">
        <v>310</v>
      </c>
      <c r="B262" s="11">
        <v>45639</v>
      </c>
      <c r="C262" s="10">
        <v>52</v>
      </c>
      <c r="D262" s="10" t="s">
        <v>16</v>
      </c>
      <c r="E262" s="12">
        <v>1446085</v>
      </c>
      <c r="F262" s="10">
        <v>454</v>
      </c>
      <c r="G262" s="12">
        <v>1528644</v>
      </c>
      <c r="H262" s="13">
        <v>7</v>
      </c>
      <c r="I262" s="10">
        <v>12</v>
      </c>
      <c r="J262" s="10" t="s">
        <v>10</v>
      </c>
      <c r="K262" s="14">
        <v>0.52</v>
      </c>
      <c r="L262" s="10" t="s">
        <v>21</v>
      </c>
      <c r="M262" s="10" t="s">
        <v>5</v>
      </c>
      <c r="N262" s="10">
        <v>1</v>
      </c>
      <c r="O262" s="10"/>
    </row>
    <row r="263" spans="1:15" x14ac:dyDescent="0.25">
      <c r="A263" s="9" t="s">
        <v>311</v>
      </c>
      <c r="B263" s="15">
        <v>45233</v>
      </c>
      <c r="C263" s="9">
        <v>59</v>
      </c>
      <c r="D263" s="9" t="s">
        <v>16</v>
      </c>
      <c r="E263" s="16">
        <v>1125268</v>
      </c>
      <c r="F263" s="9">
        <v>646</v>
      </c>
      <c r="G263" s="16">
        <v>312147</v>
      </c>
      <c r="H263" s="17">
        <v>10</v>
      </c>
      <c r="I263" s="9">
        <v>24</v>
      </c>
      <c r="J263" s="9" t="s">
        <v>12</v>
      </c>
      <c r="K263" s="18">
        <v>0.56000000000000005</v>
      </c>
      <c r="L263" s="9" t="s">
        <v>19</v>
      </c>
      <c r="M263" s="9" t="s">
        <v>3</v>
      </c>
      <c r="N263" s="9">
        <v>0</v>
      </c>
      <c r="O263" s="9"/>
    </row>
    <row r="264" spans="1:15" x14ac:dyDescent="0.25">
      <c r="A264" s="10" t="s">
        <v>312</v>
      </c>
      <c r="B264" s="11">
        <v>44942</v>
      </c>
      <c r="C264" s="10">
        <v>55</v>
      </c>
      <c r="D264" s="10" t="s">
        <v>17</v>
      </c>
      <c r="E264" s="12">
        <v>1983860</v>
      </c>
      <c r="F264" s="10">
        <v>312</v>
      </c>
      <c r="G264" s="12">
        <v>1978558</v>
      </c>
      <c r="H264" s="13">
        <v>8</v>
      </c>
      <c r="I264" s="10">
        <v>60</v>
      </c>
      <c r="J264" s="10" t="s">
        <v>10</v>
      </c>
      <c r="K264" s="14">
        <v>0.43</v>
      </c>
      <c r="L264" s="10" t="s">
        <v>20</v>
      </c>
      <c r="M264" s="10" t="s">
        <v>2</v>
      </c>
      <c r="N264" s="10">
        <v>1</v>
      </c>
      <c r="O264" s="10"/>
    </row>
    <row r="265" spans="1:15" x14ac:dyDescent="0.25">
      <c r="A265" s="9" t="s">
        <v>313</v>
      </c>
      <c r="B265" s="15">
        <v>46006</v>
      </c>
      <c r="C265" s="9">
        <v>64</v>
      </c>
      <c r="D265" s="9" t="s">
        <v>17</v>
      </c>
      <c r="E265" s="16">
        <v>1752099</v>
      </c>
      <c r="F265" s="9">
        <v>828</v>
      </c>
      <c r="G265" s="16">
        <v>633196</v>
      </c>
      <c r="H265" s="17">
        <v>9</v>
      </c>
      <c r="I265" s="9">
        <v>36</v>
      </c>
      <c r="J265" s="9" t="s">
        <v>12</v>
      </c>
      <c r="K265" s="18">
        <v>0.51</v>
      </c>
      <c r="L265" s="9" t="s">
        <v>20</v>
      </c>
      <c r="M265" s="9" t="s">
        <v>2</v>
      </c>
      <c r="N265" s="9">
        <v>0</v>
      </c>
      <c r="O265" s="9"/>
    </row>
    <row r="266" spans="1:15" x14ac:dyDescent="0.25">
      <c r="A266" s="10" t="s">
        <v>314</v>
      </c>
      <c r="B266" s="11">
        <v>44942</v>
      </c>
      <c r="C266" s="10">
        <v>40</v>
      </c>
      <c r="D266" s="10" t="s">
        <v>16</v>
      </c>
      <c r="E266" s="12">
        <v>1888996</v>
      </c>
      <c r="F266" s="10">
        <v>806</v>
      </c>
      <c r="G266" s="12">
        <v>1275166</v>
      </c>
      <c r="H266" s="13">
        <v>18</v>
      </c>
      <c r="I266" s="10">
        <v>36</v>
      </c>
      <c r="J266" s="10" t="s">
        <v>12</v>
      </c>
      <c r="K266" s="14">
        <v>0.6</v>
      </c>
      <c r="L266" s="10" t="s">
        <v>18</v>
      </c>
      <c r="M266" s="10" t="s">
        <v>4</v>
      </c>
      <c r="N266" s="10">
        <v>1</v>
      </c>
      <c r="O266" s="10"/>
    </row>
    <row r="267" spans="1:15" x14ac:dyDescent="0.25">
      <c r="A267" s="9" t="s">
        <v>315</v>
      </c>
      <c r="B267" s="15">
        <v>45435</v>
      </c>
      <c r="C267" s="9">
        <v>57</v>
      </c>
      <c r="D267" s="9" t="s">
        <v>9</v>
      </c>
      <c r="E267" s="16">
        <v>1452650</v>
      </c>
      <c r="F267" s="9">
        <v>569</v>
      </c>
      <c r="G267" s="16">
        <v>1037545</v>
      </c>
      <c r="H267" s="17">
        <v>21</v>
      </c>
      <c r="I267" s="9">
        <v>36</v>
      </c>
      <c r="J267" s="9" t="s">
        <v>14</v>
      </c>
      <c r="K267" s="18">
        <v>0.22</v>
      </c>
      <c r="L267" s="9" t="s">
        <v>19</v>
      </c>
      <c r="M267" s="9" t="s">
        <v>5</v>
      </c>
      <c r="N267" s="9">
        <v>0</v>
      </c>
      <c r="O267" s="9"/>
    </row>
    <row r="268" spans="1:15" x14ac:dyDescent="0.25">
      <c r="A268" s="10" t="s">
        <v>316</v>
      </c>
      <c r="B268" s="11">
        <v>45809</v>
      </c>
      <c r="C268" s="10">
        <v>26</v>
      </c>
      <c r="D268" s="10" t="s">
        <v>17</v>
      </c>
      <c r="E268" s="12">
        <v>588985</v>
      </c>
      <c r="F268" s="10">
        <v>715</v>
      </c>
      <c r="G268" s="12">
        <v>1563680</v>
      </c>
      <c r="H268" s="13">
        <v>17</v>
      </c>
      <c r="I268" s="10">
        <v>24</v>
      </c>
      <c r="J268" s="10" t="s">
        <v>10</v>
      </c>
      <c r="K268" s="14">
        <v>0.1</v>
      </c>
      <c r="L268" s="10" t="s">
        <v>22</v>
      </c>
      <c r="M268" s="10" t="s">
        <v>3</v>
      </c>
      <c r="N268" s="10">
        <v>0</v>
      </c>
      <c r="O268" s="10"/>
    </row>
    <row r="269" spans="1:15" x14ac:dyDescent="0.25">
      <c r="A269" s="9" t="s">
        <v>317</v>
      </c>
      <c r="B269" s="15">
        <v>45469</v>
      </c>
      <c r="C269" s="9">
        <v>21</v>
      </c>
      <c r="D269" s="9" t="s">
        <v>16</v>
      </c>
      <c r="E269" s="16">
        <v>2085081</v>
      </c>
      <c r="F269" s="9">
        <v>646</v>
      </c>
      <c r="G269" s="16">
        <v>218566</v>
      </c>
      <c r="H269" s="17">
        <v>10</v>
      </c>
      <c r="I269" s="9">
        <v>36</v>
      </c>
      <c r="J269" s="9" t="s">
        <v>14</v>
      </c>
      <c r="K269" s="18">
        <v>0.6</v>
      </c>
      <c r="L269" s="9" t="s">
        <v>22</v>
      </c>
      <c r="M269" s="9" t="s">
        <v>5</v>
      </c>
      <c r="N269" s="9">
        <v>0</v>
      </c>
      <c r="O269" s="9"/>
    </row>
    <row r="270" spans="1:15" x14ac:dyDescent="0.25">
      <c r="A270" s="10" t="s">
        <v>318</v>
      </c>
      <c r="B270" s="11">
        <v>45298</v>
      </c>
      <c r="C270" s="10">
        <v>46</v>
      </c>
      <c r="D270" s="10" t="s">
        <v>16</v>
      </c>
      <c r="E270" s="12">
        <v>1703619</v>
      </c>
      <c r="F270" s="10">
        <v>413</v>
      </c>
      <c r="G270" s="12">
        <v>682632</v>
      </c>
      <c r="H270" s="13">
        <v>18</v>
      </c>
      <c r="I270" s="10">
        <v>12</v>
      </c>
      <c r="J270" s="10" t="s">
        <v>11</v>
      </c>
      <c r="K270" s="14">
        <v>0.2</v>
      </c>
      <c r="L270" s="10" t="s">
        <v>20</v>
      </c>
      <c r="M270" s="10" t="s">
        <v>2</v>
      </c>
      <c r="N270" s="10">
        <v>0</v>
      </c>
      <c r="O270" s="10"/>
    </row>
    <row r="271" spans="1:15" x14ac:dyDescent="0.25">
      <c r="A271" s="9" t="s">
        <v>319</v>
      </c>
      <c r="B271" s="15">
        <v>45436</v>
      </c>
      <c r="C271" s="9">
        <v>48</v>
      </c>
      <c r="D271" s="9" t="s">
        <v>9</v>
      </c>
      <c r="E271" s="16">
        <v>265790</v>
      </c>
      <c r="F271" s="9">
        <v>643</v>
      </c>
      <c r="G271" s="16">
        <v>1089900</v>
      </c>
      <c r="H271" s="17">
        <v>24</v>
      </c>
      <c r="I271" s="9">
        <v>24</v>
      </c>
      <c r="J271" s="9" t="s">
        <v>14</v>
      </c>
      <c r="K271" s="18">
        <v>0.46</v>
      </c>
      <c r="L271" s="9" t="s">
        <v>18</v>
      </c>
      <c r="M271" s="9" t="s">
        <v>4</v>
      </c>
      <c r="N271" s="9">
        <v>0</v>
      </c>
      <c r="O271" s="9"/>
    </row>
    <row r="272" spans="1:15" x14ac:dyDescent="0.25">
      <c r="A272" s="10" t="s">
        <v>320</v>
      </c>
      <c r="B272" s="11">
        <v>45154</v>
      </c>
      <c r="C272" s="10">
        <v>27</v>
      </c>
      <c r="D272" s="10" t="s">
        <v>9</v>
      </c>
      <c r="E272" s="12">
        <v>2361593</v>
      </c>
      <c r="F272" s="10">
        <v>653</v>
      </c>
      <c r="G272" s="12">
        <v>124803</v>
      </c>
      <c r="H272" s="13">
        <v>13</v>
      </c>
      <c r="I272" s="10">
        <v>24</v>
      </c>
      <c r="J272" s="10" t="s">
        <v>13</v>
      </c>
      <c r="K272" s="14">
        <v>0.36</v>
      </c>
      <c r="L272" s="10" t="s">
        <v>19</v>
      </c>
      <c r="M272" s="10" t="s">
        <v>4</v>
      </c>
      <c r="N272" s="10">
        <v>0</v>
      </c>
      <c r="O272" s="10"/>
    </row>
    <row r="273" spans="1:15" x14ac:dyDescent="0.25">
      <c r="A273" s="9" t="s">
        <v>321</v>
      </c>
      <c r="B273" s="15">
        <v>45930</v>
      </c>
      <c r="C273" s="9">
        <v>26</v>
      </c>
      <c r="D273" s="9" t="s">
        <v>17</v>
      </c>
      <c r="E273" s="16">
        <v>1425981</v>
      </c>
      <c r="F273" s="9">
        <v>812</v>
      </c>
      <c r="G273" s="16">
        <v>766596</v>
      </c>
      <c r="H273" s="17">
        <v>17</v>
      </c>
      <c r="I273" s="9">
        <v>24</v>
      </c>
      <c r="J273" s="9" t="s">
        <v>11</v>
      </c>
      <c r="K273" s="18">
        <v>0.12</v>
      </c>
      <c r="L273" s="9" t="s">
        <v>22</v>
      </c>
      <c r="M273" s="9" t="s">
        <v>5</v>
      </c>
      <c r="N273" s="9">
        <v>0</v>
      </c>
      <c r="O273" s="9"/>
    </row>
    <row r="274" spans="1:15" x14ac:dyDescent="0.25">
      <c r="A274" s="10" t="s">
        <v>322</v>
      </c>
      <c r="B274" s="11">
        <v>45565</v>
      </c>
      <c r="C274" s="10">
        <v>62</v>
      </c>
      <c r="D274" s="10" t="s">
        <v>17</v>
      </c>
      <c r="E274" s="12">
        <v>285439</v>
      </c>
      <c r="F274" s="10">
        <v>585</v>
      </c>
      <c r="G274" s="12">
        <v>1916896</v>
      </c>
      <c r="H274" s="13">
        <v>14</v>
      </c>
      <c r="I274" s="10">
        <v>12</v>
      </c>
      <c r="J274" s="10" t="s">
        <v>14</v>
      </c>
      <c r="K274" s="14">
        <v>0.18</v>
      </c>
      <c r="L274" s="10" t="s">
        <v>21</v>
      </c>
      <c r="M274" s="10" t="s">
        <v>4</v>
      </c>
      <c r="N274" s="10">
        <v>0</v>
      </c>
      <c r="O274" s="10"/>
    </row>
    <row r="275" spans="1:15" x14ac:dyDescent="0.25">
      <c r="A275" s="9" t="s">
        <v>323</v>
      </c>
      <c r="B275" s="15">
        <v>45401</v>
      </c>
      <c r="C275" s="9">
        <v>56</v>
      </c>
      <c r="D275" s="9" t="s">
        <v>16</v>
      </c>
      <c r="E275" s="16">
        <v>1229827</v>
      </c>
      <c r="F275" s="9">
        <v>396</v>
      </c>
      <c r="G275" s="16">
        <v>1224114</v>
      </c>
      <c r="H275" s="17">
        <v>19</v>
      </c>
      <c r="I275" s="9">
        <v>60</v>
      </c>
      <c r="J275" s="9" t="s">
        <v>13</v>
      </c>
      <c r="K275" s="18">
        <v>0.59</v>
      </c>
      <c r="L275" s="9" t="s">
        <v>19</v>
      </c>
      <c r="M275" s="9" t="s">
        <v>4</v>
      </c>
      <c r="N275" s="9">
        <v>1</v>
      </c>
      <c r="O275" s="9"/>
    </row>
    <row r="276" spans="1:15" x14ac:dyDescent="0.25">
      <c r="A276" s="10" t="s">
        <v>324</v>
      </c>
      <c r="B276" s="11">
        <v>44966</v>
      </c>
      <c r="C276" s="10">
        <v>28</v>
      </c>
      <c r="D276" s="10" t="s">
        <v>9</v>
      </c>
      <c r="E276" s="12">
        <v>1944758</v>
      </c>
      <c r="F276" s="10">
        <v>447</v>
      </c>
      <c r="G276" s="12">
        <v>1937368</v>
      </c>
      <c r="H276" s="13">
        <v>17</v>
      </c>
      <c r="I276" s="10">
        <v>24</v>
      </c>
      <c r="J276" s="10" t="s">
        <v>13</v>
      </c>
      <c r="K276" s="14">
        <v>0.31</v>
      </c>
      <c r="L276" s="10" t="s">
        <v>19</v>
      </c>
      <c r="M276" s="10" t="s">
        <v>2</v>
      </c>
      <c r="N276" s="10">
        <v>1</v>
      </c>
      <c r="O276" s="10"/>
    </row>
    <row r="277" spans="1:15" x14ac:dyDescent="0.25">
      <c r="A277" s="9" t="s">
        <v>325</v>
      </c>
      <c r="B277" s="15">
        <v>45572</v>
      </c>
      <c r="C277" s="9">
        <v>25</v>
      </c>
      <c r="D277" s="9" t="s">
        <v>9</v>
      </c>
      <c r="E277" s="16">
        <v>1763240</v>
      </c>
      <c r="F277" s="9">
        <v>453</v>
      </c>
      <c r="G277" s="16">
        <v>495446</v>
      </c>
      <c r="H277" s="17">
        <v>7</v>
      </c>
      <c r="I277" s="9">
        <v>60</v>
      </c>
      <c r="J277" s="9" t="s">
        <v>14</v>
      </c>
      <c r="K277" s="18">
        <v>0.13</v>
      </c>
      <c r="L277" s="9" t="s">
        <v>18</v>
      </c>
      <c r="M277" s="9" t="s">
        <v>2</v>
      </c>
      <c r="N277" s="9">
        <v>0</v>
      </c>
      <c r="O277" s="9"/>
    </row>
    <row r="278" spans="1:15" x14ac:dyDescent="0.25">
      <c r="A278" s="10" t="s">
        <v>326</v>
      </c>
      <c r="B278" s="11">
        <v>45269</v>
      </c>
      <c r="C278" s="10">
        <v>26</v>
      </c>
      <c r="D278" s="10" t="s">
        <v>16</v>
      </c>
      <c r="E278" s="12">
        <v>1999001</v>
      </c>
      <c r="F278" s="10">
        <v>675</v>
      </c>
      <c r="G278" s="12">
        <v>494340</v>
      </c>
      <c r="H278" s="13">
        <v>23</v>
      </c>
      <c r="I278" s="10">
        <v>36</v>
      </c>
      <c r="J278" s="10" t="s">
        <v>9</v>
      </c>
      <c r="K278" s="14">
        <v>0.52</v>
      </c>
      <c r="L278" s="10" t="s">
        <v>18</v>
      </c>
      <c r="M278" s="10" t="s">
        <v>3</v>
      </c>
      <c r="N278" s="10">
        <v>0</v>
      </c>
      <c r="O278" s="10"/>
    </row>
    <row r="279" spans="1:15" x14ac:dyDescent="0.25">
      <c r="A279" s="9" t="s">
        <v>327</v>
      </c>
      <c r="B279" s="15">
        <v>45070</v>
      </c>
      <c r="C279" s="9">
        <v>52</v>
      </c>
      <c r="D279" s="9" t="s">
        <v>16</v>
      </c>
      <c r="E279" s="16">
        <v>297745</v>
      </c>
      <c r="F279" s="9">
        <v>448</v>
      </c>
      <c r="G279" s="16">
        <v>1399856</v>
      </c>
      <c r="H279" s="17">
        <v>19</v>
      </c>
      <c r="I279" s="9">
        <v>60</v>
      </c>
      <c r="J279" s="9" t="s">
        <v>13</v>
      </c>
      <c r="K279" s="18">
        <v>0.13</v>
      </c>
      <c r="L279" s="9" t="s">
        <v>21</v>
      </c>
      <c r="M279" s="9" t="s">
        <v>3</v>
      </c>
      <c r="N279" s="9">
        <v>0</v>
      </c>
      <c r="O279" s="9"/>
    </row>
    <row r="280" spans="1:15" x14ac:dyDescent="0.25">
      <c r="A280" s="10" t="s">
        <v>328</v>
      </c>
      <c r="B280" s="11">
        <v>45034</v>
      </c>
      <c r="C280" s="10">
        <v>58</v>
      </c>
      <c r="D280" s="10" t="s">
        <v>17</v>
      </c>
      <c r="E280" s="12">
        <v>815868</v>
      </c>
      <c r="F280" s="10">
        <v>830</v>
      </c>
      <c r="G280" s="12">
        <v>1025151</v>
      </c>
      <c r="H280" s="13">
        <v>15</v>
      </c>
      <c r="I280" s="10">
        <v>36</v>
      </c>
      <c r="J280" s="10" t="s">
        <v>14</v>
      </c>
      <c r="K280" s="14">
        <v>0.15</v>
      </c>
      <c r="L280" s="10" t="s">
        <v>21</v>
      </c>
      <c r="M280" s="10" t="s">
        <v>2</v>
      </c>
      <c r="N280" s="10">
        <v>0</v>
      </c>
      <c r="O280" s="10"/>
    </row>
    <row r="281" spans="1:15" x14ac:dyDescent="0.25">
      <c r="A281" s="9" t="s">
        <v>329</v>
      </c>
      <c r="B281" s="15">
        <v>45720</v>
      </c>
      <c r="C281" s="9">
        <v>44</v>
      </c>
      <c r="D281" s="9" t="s">
        <v>9</v>
      </c>
      <c r="E281" s="16">
        <v>2015095</v>
      </c>
      <c r="F281" s="9">
        <v>570</v>
      </c>
      <c r="G281" s="16">
        <v>1979671</v>
      </c>
      <c r="H281" s="17">
        <v>19</v>
      </c>
      <c r="I281" s="9">
        <v>60</v>
      </c>
      <c r="J281" s="9" t="s">
        <v>11</v>
      </c>
      <c r="K281" s="18">
        <v>0.32</v>
      </c>
      <c r="L281" s="9" t="s">
        <v>20</v>
      </c>
      <c r="M281" s="9" t="s">
        <v>5</v>
      </c>
      <c r="N281" s="9">
        <v>0</v>
      </c>
      <c r="O281" s="9"/>
    </row>
    <row r="282" spans="1:15" x14ac:dyDescent="0.25">
      <c r="A282" s="10" t="s">
        <v>330</v>
      </c>
      <c r="B282" s="11">
        <v>45183</v>
      </c>
      <c r="C282" s="10">
        <v>24</v>
      </c>
      <c r="D282" s="10" t="s">
        <v>17</v>
      </c>
      <c r="E282" s="12">
        <v>624148</v>
      </c>
      <c r="F282" s="10">
        <v>413</v>
      </c>
      <c r="G282" s="12">
        <v>991278</v>
      </c>
      <c r="H282" s="13">
        <v>11</v>
      </c>
      <c r="I282" s="10">
        <v>36</v>
      </c>
      <c r="J282" s="10" t="s">
        <v>12</v>
      </c>
      <c r="K282" s="14">
        <v>0.54</v>
      </c>
      <c r="L282" s="10" t="s">
        <v>22</v>
      </c>
      <c r="M282" s="10" t="s">
        <v>4</v>
      </c>
      <c r="N282" s="10">
        <v>1</v>
      </c>
      <c r="O282" s="10"/>
    </row>
    <row r="283" spans="1:15" x14ac:dyDescent="0.25">
      <c r="A283" s="9" t="s">
        <v>331</v>
      </c>
      <c r="B283" s="15">
        <v>45200</v>
      </c>
      <c r="C283" s="9">
        <v>49</v>
      </c>
      <c r="D283" s="9" t="s">
        <v>16</v>
      </c>
      <c r="E283" s="16">
        <v>1042097</v>
      </c>
      <c r="F283" s="9">
        <v>699</v>
      </c>
      <c r="G283" s="16">
        <v>980950</v>
      </c>
      <c r="H283" s="17">
        <v>7</v>
      </c>
      <c r="I283" s="9">
        <v>60</v>
      </c>
      <c r="J283" s="9" t="s">
        <v>10</v>
      </c>
      <c r="K283" s="18">
        <v>0.28000000000000003</v>
      </c>
      <c r="L283" s="9" t="s">
        <v>20</v>
      </c>
      <c r="M283" s="9" t="s">
        <v>2</v>
      </c>
      <c r="N283" s="9">
        <v>0</v>
      </c>
      <c r="O283" s="9"/>
    </row>
    <row r="284" spans="1:15" x14ac:dyDescent="0.25">
      <c r="A284" s="10" t="s">
        <v>332</v>
      </c>
      <c r="B284" s="11">
        <v>45773</v>
      </c>
      <c r="C284" s="10">
        <v>55</v>
      </c>
      <c r="D284" s="10" t="s">
        <v>17</v>
      </c>
      <c r="E284" s="12">
        <v>1663498</v>
      </c>
      <c r="F284" s="10">
        <v>845</v>
      </c>
      <c r="G284" s="12">
        <v>1654158</v>
      </c>
      <c r="H284" s="13">
        <v>9</v>
      </c>
      <c r="I284" s="10">
        <v>12</v>
      </c>
      <c r="J284" s="10" t="s">
        <v>10</v>
      </c>
      <c r="K284" s="14">
        <v>0.19</v>
      </c>
      <c r="L284" s="10" t="s">
        <v>20</v>
      </c>
      <c r="M284" s="10" t="s">
        <v>4</v>
      </c>
      <c r="N284" s="10">
        <v>0</v>
      </c>
      <c r="O284" s="10"/>
    </row>
    <row r="285" spans="1:15" x14ac:dyDescent="0.25">
      <c r="A285" s="9" t="s">
        <v>333</v>
      </c>
      <c r="B285" s="15">
        <v>45937</v>
      </c>
      <c r="C285" s="9">
        <v>25</v>
      </c>
      <c r="D285" s="9" t="s">
        <v>9</v>
      </c>
      <c r="E285" s="16">
        <v>409920</v>
      </c>
      <c r="F285" s="9">
        <v>777</v>
      </c>
      <c r="G285" s="16">
        <v>1296299</v>
      </c>
      <c r="H285" s="17">
        <v>22</v>
      </c>
      <c r="I285" s="9">
        <v>60</v>
      </c>
      <c r="J285" s="9" t="s">
        <v>11</v>
      </c>
      <c r="K285" s="18">
        <v>0.56999999999999995</v>
      </c>
      <c r="L285" s="9" t="s">
        <v>19</v>
      </c>
      <c r="M285" s="9" t="s">
        <v>4</v>
      </c>
      <c r="N285" s="9">
        <v>1</v>
      </c>
      <c r="O285" s="9"/>
    </row>
    <row r="286" spans="1:15" x14ac:dyDescent="0.25">
      <c r="A286" s="10" t="s">
        <v>334</v>
      </c>
      <c r="B286" s="11">
        <v>45450</v>
      </c>
      <c r="C286" s="10">
        <v>64</v>
      </c>
      <c r="D286" s="10" t="s">
        <v>16</v>
      </c>
      <c r="E286" s="12">
        <v>1410027</v>
      </c>
      <c r="F286" s="10">
        <v>452</v>
      </c>
      <c r="G286" s="12">
        <v>63242</v>
      </c>
      <c r="H286" s="13">
        <v>7</v>
      </c>
      <c r="I286" s="10">
        <v>24</v>
      </c>
      <c r="J286" s="10" t="s">
        <v>12</v>
      </c>
      <c r="K286" s="14">
        <v>0.4</v>
      </c>
      <c r="L286" s="10" t="s">
        <v>21</v>
      </c>
      <c r="M286" s="10" t="s">
        <v>3</v>
      </c>
      <c r="N286" s="10">
        <v>0</v>
      </c>
      <c r="O286" s="10"/>
    </row>
    <row r="287" spans="1:15" x14ac:dyDescent="0.25">
      <c r="A287" s="9" t="s">
        <v>335</v>
      </c>
      <c r="B287" s="15">
        <v>45152</v>
      </c>
      <c r="C287" s="9">
        <v>55</v>
      </c>
      <c r="D287" s="9" t="s">
        <v>16</v>
      </c>
      <c r="E287" s="16">
        <v>868473</v>
      </c>
      <c r="F287" s="9">
        <v>599</v>
      </c>
      <c r="G287" s="16">
        <v>1998404</v>
      </c>
      <c r="H287" s="17">
        <v>16</v>
      </c>
      <c r="I287" s="9">
        <v>60</v>
      </c>
      <c r="J287" s="9" t="s">
        <v>10</v>
      </c>
      <c r="K287" s="18">
        <v>0.42</v>
      </c>
      <c r="L287" s="9" t="s">
        <v>18</v>
      </c>
      <c r="M287" s="9" t="s">
        <v>2</v>
      </c>
      <c r="N287" s="9">
        <v>0</v>
      </c>
      <c r="O287" s="9"/>
    </row>
    <row r="288" spans="1:15" x14ac:dyDescent="0.25">
      <c r="A288" s="10" t="s">
        <v>336</v>
      </c>
      <c r="B288" s="11">
        <v>45433</v>
      </c>
      <c r="C288" s="10">
        <v>55</v>
      </c>
      <c r="D288" s="10" t="s">
        <v>17</v>
      </c>
      <c r="E288" s="12">
        <v>1544068</v>
      </c>
      <c r="F288" s="10">
        <v>360</v>
      </c>
      <c r="G288" s="12">
        <v>403357</v>
      </c>
      <c r="H288" s="13">
        <v>15</v>
      </c>
      <c r="I288" s="10">
        <v>12</v>
      </c>
      <c r="J288" s="10" t="s">
        <v>12</v>
      </c>
      <c r="K288" s="14">
        <v>0.56000000000000005</v>
      </c>
      <c r="L288" s="10" t="s">
        <v>20</v>
      </c>
      <c r="M288" s="10" t="s">
        <v>3</v>
      </c>
      <c r="N288" s="10">
        <v>1</v>
      </c>
      <c r="O288" s="10"/>
    </row>
    <row r="289" spans="1:15" x14ac:dyDescent="0.25">
      <c r="A289" s="9" t="s">
        <v>337</v>
      </c>
      <c r="B289" s="15">
        <v>45121</v>
      </c>
      <c r="C289" s="9">
        <v>22</v>
      </c>
      <c r="D289" s="9" t="s">
        <v>17</v>
      </c>
      <c r="E289" s="16">
        <v>2275665</v>
      </c>
      <c r="F289" s="9">
        <v>447</v>
      </c>
      <c r="G289" s="16">
        <v>330633</v>
      </c>
      <c r="H289" s="17">
        <v>12</v>
      </c>
      <c r="I289" s="9">
        <v>24</v>
      </c>
      <c r="J289" s="9" t="s">
        <v>12</v>
      </c>
      <c r="K289" s="18">
        <v>0.57999999999999996</v>
      </c>
      <c r="L289" s="9" t="s">
        <v>18</v>
      </c>
      <c r="M289" s="9" t="s">
        <v>4</v>
      </c>
      <c r="N289" s="9">
        <v>0</v>
      </c>
      <c r="O289" s="9"/>
    </row>
    <row r="290" spans="1:15" x14ac:dyDescent="0.25">
      <c r="A290" s="10" t="s">
        <v>338</v>
      </c>
      <c r="B290" s="11">
        <v>46008</v>
      </c>
      <c r="C290" s="10">
        <v>40</v>
      </c>
      <c r="D290" s="10" t="s">
        <v>9</v>
      </c>
      <c r="E290" s="12">
        <v>1724108</v>
      </c>
      <c r="F290" s="10">
        <v>487</v>
      </c>
      <c r="G290" s="12">
        <v>1962143</v>
      </c>
      <c r="H290" s="13">
        <v>7</v>
      </c>
      <c r="I290" s="10">
        <v>60</v>
      </c>
      <c r="J290" s="10" t="s">
        <v>9</v>
      </c>
      <c r="K290" s="14">
        <v>0.6</v>
      </c>
      <c r="L290" s="10" t="s">
        <v>21</v>
      </c>
      <c r="M290" s="10" t="s">
        <v>3</v>
      </c>
      <c r="N290" s="10">
        <v>1</v>
      </c>
      <c r="O290" s="10"/>
    </row>
    <row r="291" spans="1:15" x14ac:dyDescent="0.25">
      <c r="A291" s="9" t="s">
        <v>339</v>
      </c>
      <c r="B291" s="15">
        <v>45386</v>
      </c>
      <c r="C291" s="9">
        <v>21</v>
      </c>
      <c r="D291" s="9" t="s">
        <v>16</v>
      </c>
      <c r="E291" s="16">
        <v>1067539</v>
      </c>
      <c r="F291" s="9">
        <v>559</v>
      </c>
      <c r="G291" s="16">
        <v>190681</v>
      </c>
      <c r="H291" s="17">
        <v>20</v>
      </c>
      <c r="I291" s="9">
        <v>24</v>
      </c>
      <c r="J291" s="9" t="s">
        <v>11</v>
      </c>
      <c r="K291" s="18">
        <v>0.39</v>
      </c>
      <c r="L291" s="9" t="s">
        <v>21</v>
      </c>
      <c r="M291" s="9" t="s">
        <v>2</v>
      </c>
      <c r="N291" s="9">
        <v>0</v>
      </c>
      <c r="O291" s="9"/>
    </row>
    <row r="292" spans="1:15" x14ac:dyDescent="0.25">
      <c r="A292" s="10" t="s">
        <v>340</v>
      </c>
      <c r="B292" s="11">
        <v>45472</v>
      </c>
      <c r="C292" s="10">
        <v>64</v>
      </c>
      <c r="D292" s="10" t="s">
        <v>9</v>
      </c>
      <c r="E292" s="12">
        <v>2339200</v>
      </c>
      <c r="F292" s="10">
        <v>617</v>
      </c>
      <c r="G292" s="12">
        <v>1001952</v>
      </c>
      <c r="H292" s="13">
        <v>15</v>
      </c>
      <c r="I292" s="10">
        <v>12</v>
      </c>
      <c r="J292" s="10" t="s">
        <v>11</v>
      </c>
      <c r="K292" s="14">
        <v>0.6</v>
      </c>
      <c r="L292" s="10" t="s">
        <v>20</v>
      </c>
      <c r="M292" s="10" t="s">
        <v>4</v>
      </c>
      <c r="N292" s="10">
        <v>1</v>
      </c>
      <c r="O292" s="10"/>
    </row>
    <row r="293" spans="1:15" x14ac:dyDescent="0.25">
      <c r="A293" s="9" t="s">
        <v>341</v>
      </c>
      <c r="B293" s="15">
        <v>45250</v>
      </c>
      <c r="C293" s="9">
        <v>27</v>
      </c>
      <c r="D293" s="9" t="s">
        <v>17</v>
      </c>
      <c r="E293" s="16">
        <v>557702</v>
      </c>
      <c r="F293" s="9">
        <v>722</v>
      </c>
      <c r="G293" s="16">
        <v>267138</v>
      </c>
      <c r="H293" s="17">
        <v>24</v>
      </c>
      <c r="I293" s="9">
        <v>60</v>
      </c>
      <c r="J293" s="9" t="s">
        <v>14</v>
      </c>
      <c r="K293" s="18">
        <v>0.4</v>
      </c>
      <c r="L293" s="9" t="s">
        <v>19</v>
      </c>
      <c r="M293" s="9" t="s">
        <v>3</v>
      </c>
      <c r="N293" s="9">
        <v>0</v>
      </c>
      <c r="O293" s="9"/>
    </row>
    <row r="294" spans="1:15" x14ac:dyDescent="0.25">
      <c r="A294" s="10" t="s">
        <v>342</v>
      </c>
      <c r="B294" s="11">
        <v>45505</v>
      </c>
      <c r="C294" s="10">
        <v>26</v>
      </c>
      <c r="D294" s="10" t="s">
        <v>17</v>
      </c>
      <c r="E294" s="12">
        <v>1806622</v>
      </c>
      <c r="F294" s="10">
        <v>564</v>
      </c>
      <c r="G294" s="12">
        <v>1198524</v>
      </c>
      <c r="H294" s="13">
        <v>24</v>
      </c>
      <c r="I294" s="10">
        <v>12</v>
      </c>
      <c r="J294" s="10" t="s">
        <v>9</v>
      </c>
      <c r="K294" s="14">
        <v>0.25</v>
      </c>
      <c r="L294" s="10" t="s">
        <v>22</v>
      </c>
      <c r="M294" s="10" t="s">
        <v>5</v>
      </c>
      <c r="N294" s="10">
        <v>0</v>
      </c>
      <c r="O294" s="10"/>
    </row>
    <row r="295" spans="1:15" x14ac:dyDescent="0.25">
      <c r="A295" s="9" t="s">
        <v>343</v>
      </c>
      <c r="B295" s="15">
        <v>45439</v>
      </c>
      <c r="C295" s="9">
        <v>47</v>
      </c>
      <c r="D295" s="9" t="s">
        <v>16</v>
      </c>
      <c r="E295" s="16">
        <v>1000265</v>
      </c>
      <c r="F295" s="9">
        <v>797</v>
      </c>
      <c r="G295" s="16">
        <v>418544</v>
      </c>
      <c r="H295" s="17">
        <v>12</v>
      </c>
      <c r="I295" s="9">
        <v>60</v>
      </c>
      <c r="J295" s="9" t="s">
        <v>12</v>
      </c>
      <c r="K295" s="18">
        <v>0.13</v>
      </c>
      <c r="L295" s="9" t="s">
        <v>22</v>
      </c>
      <c r="M295" s="9" t="s">
        <v>2</v>
      </c>
      <c r="N295" s="9">
        <v>0</v>
      </c>
      <c r="O295" s="9"/>
    </row>
    <row r="296" spans="1:15" x14ac:dyDescent="0.25">
      <c r="A296" s="10" t="s">
        <v>344</v>
      </c>
      <c r="B296" s="11">
        <v>45264</v>
      </c>
      <c r="C296" s="10">
        <v>62</v>
      </c>
      <c r="D296" s="10" t="s">
        <v>17</v>
      </c>
      <c r="E296" s="12">
        <v>1145289</v>
      </c>
      <c r="F296" s="10">
        <v>831</v>
      </c>
      <c r="G296" s="12">
        <v>841234</v>
      </c>
      <c r="H296" s="13">
        <v>20</v>
      </c>
      <c r="I296" s="10">
        <v>36</v>
      </c>
      <c r="J296" s="10" t="s">
        <v>12</v>
      </c>
      <c r="K296" s="14">
        <v>0.6</v>
      </c>
      <c r="L296" s="10" t="s">
        <v>20</v>
      </c>
      <c r="M296" s="10" t="s">
        <v>2</v>
      </c>
      <c r="N296" s="10">
        <v>0</v>
      </c>
      <c r="O296" s="10"/>
    </row>
    <row r="297" spans="1:15" x14ac:dyDescent="0.25">
      <c r="A297" s="9" t="s">
        <v>345</v>
      </c>
      <c r="B297" s="15">
        <v>45545</v>
      </c>
      <c r="C297" s="9">
        <v>27</v>
      </c>
      <c r="D297" s="9" t="s">
        <v>9</v>
      </c>
      <c r="E297" s="16">
        <v>2110426</v>
      </c>
      <c r="F297" s="9">
        <v>626</v>
      </c>
      <c r="G297" s="16">
        <v>147185</v>
      </c>
      <c r="H297" s="17">
        <v>23</v>
      </c>
      <c r="I297" s="9">
        <v>24</v>
      </c>
      <c r="J297" s="9" t="s">
        <v>10</v>
      </c>
      <c r="K297" s="18">
        <v>0.36</v>
      </c>
      <c r="L297" s="9" t="s">
        <v>18</v>
      </c>
      <c r="M297" s="9" t="s">
        <v>3</v>
      </c>
      <c r="N297" s="9">
        <v>1</v>
      </c>
      <c r="O297" s="9"/>
    </row>
    <row r="298" spans="1:15" x14ac:dyDescent="0.25">
      <c r="A298" s="10" t="s">
        <v>346</v>
      </c>
      <c r="B298" s="11">
        <v>45480</v>
      </c>
      <c r="C298" s="10">
        <v>45</v>
      </c>
      <c r="D298" s="10" t="s">
        <v>17</v>
      </c>
      <c r="E298" s="12">
        <v>1614520</v>
      </c>
      <c r="F298" s="10">
        <v>530</v>
      </c>
      <c r="G298" s="12">
        <v>1112588</v>
      </c>
      <c r="H298" s="13">
        <v>23</v>
      </c>
      <c r="I298" s="10">
        <v>24</v>
      </c>
      <c r="J298" s="10" t="s">
        <v>14</v>
      </c>
      <c r="K298" s="14">
        <v>0.5</v>
      </c>
      <c r="L298" s="10" t="s">
        <v>18</v>
      </c>
      <c r="M298" s="10" t="s">
        <v>3</v>
      </c>
      <c r="N298" s="10">
        <v>0</v>
      </c>
      <c r="O298" s="10"/>
    </row>
    <row r="299" spans="1:15" x14ac:dyDescent="0.25">
      <c r="A299" s="9" t="s">
        <v>347</v>
      </c>
      <c r="B299" s="15">
        <v>45523</v>
      </c>
      <c r="C299" s="9">
        <v>63</v>
      </c>
      <c r="D299" s="9" t="s">
        <v>17</v>
      </c>
      <c r="E299" s="16">
        <v>373832</v>
      </c>
      <c r="F299" s="9">
        <v>332</v>
      </c>
      <c r="G299" s="16">
        <v>1956499</v>
      </c>
      <c r="H299" s="17">
        <v>19</v>
      </c>
      <c r="I299" s="9">
        <v>36</v>
      </c>
      <c r="J299" s="9" t="s">
        <v>12</v>
      </c>
      <c r="K299" s="18">
        <v>0.6</v>
      </c>
      <c r="L299" s="9" t="s">
        <v>20</v>
      </c>
      <c r="M299" s="9" t="s">
        <v>4</v>
      </c>
      <c r="N299" s="9">
        <v>0</v>
      </c>
      <c r="O299" s="9"/>
    </row>
    <row r="300" spans="1:15" x14ac:dyDescent="0.25">
      <c r="A300" s="10" t="s">
        <v>348</v>
      </c>
      <c r="B300" s="11">
        <v>45772</v>
      </c>
      <c r="C300" s="10">
        <v>27</v>
      </c>
      <c r="D300" s="10" t="s">
        <v>17</v>
      </c>
      <c r="E300" s="12">
        <v>825515</v>
      </c>
      <c r="F300" s="10">
        <v>313</v>
      </c>
      <c r="G300" s="12">
        <v>1948288</v>
      </c>
      <c r="H300" s="13">
        <v>12</v>
      </c>
      <c r="I300" s="10">
        <v>24</v>
      </c>
      <c r="J300" s="10" t="s">
        <v>12</v>
      </c>
      <c r="K300" s="14">
        <v>0.13</v>
      </c>
      <c r="L300" s="10" t="s">
        <v>18</v>
      </c>
      <c r="M300" s="10" t="s">
        <v>5</v>
      </c>
      <c r="N300" s="10">
        <v>1</v>
      </c>
      <c r="O300" s="10"/>
    </row>
    <row r="301" spans="1:15" x14ac:dyDescent="0.25">
      <c r="A301" s="9" t="s">
        <v>349</v>
      </c>
      <c r="B301" s="15">
        <v>45418</v>
      </c>
      <c r="C301" s="9">
        <v>27</v>
      </c>
      <c r="D301" s="9" t="s">
        <v>16</v>
      </c>
      <c r="E301" s="16">
        <v>2187459</v>
      </c>
      <c r="F301" s="9">
        <v>312</v>
      </c>
      <c r="G301" s="16">
        <v>1787953</v>
      </c>
      <c r="H301" s="17">
        <v>13</v>
      </c>
      <c r="I301" s="9">
        <v>12</v>
      </c>
      <c r="J301" s="9" t="s">
        <v>9</v>
      </c>
      <c r="K301" s="18">
        <v>0.54</v>
      </c>
      <c r="L301" s="9" t="s">
        <v>19</v>
      </c>
      <c r="M301" s="9" t="s">
        <v>4</v>
      </c>
      <c r="N301" s="9">
        <v>1</v>
      </c>
      <c r="O301" s="9"/>
    </row>
    <row r="302" spans="1:15" x14ac:dyDescent="0.25">
      <c r="A302" s="10" t="s">
        <v>350</v>
      </c>
      <c r="B302" s="11">
        <v>45320</v>
      </c>
      <c r="C302" s="10">
        <v>44</v>
      </c>
      <c r="D302" s="10" t="s">
        <v>16</v>
      </c>
      <c r="E302" s="12">
        <v>695876</v>
      </c>
      <c r="F302" s="10">
        <v>599</v>
      </c>
      <c r="G302" s="12">
        <v>1413713</v>
      </c>
      <c r="H302" s="13">
        <v>10</v>
      </c>
      <c r="I302" s="10">
        <v>36</v>
      </c>
      <c r="J302" s="10" t="s">
        <v>13</v>
      </c>
      <c r="K302" s="14">
        <v>0.12</v>
      </c>
      <c r="L302" s="10" t="s">
        <v>20</v>
      </c>
      <c r="M302" s="10" t="s">
        <v>4</v>
      </c>
      <c r="N302" s="10">
        <v>0</v>
      </c>
      <c r="O302" s="10"/>
    </row>
    <row r="303" spans="1:15" x14ac:dyDescent="0.25">
      <c r="A303" s="9" t="s">
        <v>351</v>
      </c>
      <c r="B303" s="15">
        <v>45626</v>
      </c>
      <c r="C303" s="9">
        <v>50</v>
      </c>
      <c r="D303" s="9" t="s">
        <v>16</v>
      </c>
      <c r="E303" s="16">
        <v>1894789</v>
      </c>
      <c r="F303" s="9">
        <v>379</v>
      </c>
      <c r="G303" s="16">
        <v>1072989</v>
      </c>
      <c r="H303" s="17">
        <v>9</v>
      </c>
      <c r="I303" s="9">
        <v>36</v>
      </c>
      <c r="J303" s="9" t="s">
        <v>11</v>
      </c>
      <c r="K303" s="18">
        <v>0.22</v>
      </c>
      <c r="L303" s="9" t="s">
        <v>21</v>
      </c>
      <c r="M303" s="9" t="s">
        <v>2</v>
      </c>
      <c r="N303" s="9">
        <v>0</v>
      </c>
      <c r="O303" s="9"/>
    </row>
    <row r="304" spans="1:15" x14ac:dyDescent="0.25">
      <c r="A304" s="10" t="s">
        <v>352</v>
      </c>
      <c r="B304" s="11">
        <v>44931</v>
      </c>
      <c r="C304" s="10">
        <v>23</v>
      </c>
      <c r="D304" s="10" t="s">
        <v>17</v>
      </c>
      <c r="E304" s="12">
        <v>377134</v>
      </c>
      <c r="F304" s="10">
        <v>830</v>
      </c>
      <c r="G304" s="12">
        <v>427740</v>
      </c>
      <c r="H304" s="13">
        <v>15</v>
      </c>
      <c r="I304" s="10">
        <v>60</v>
      </c>
      <c r="J304" s="10" t="s">
        <v>10</v>
      </c>
      <c r="K304" s="14">
        <v>0.21</v>
      </c>
      <c r="L304" s="10" t="s">
        <v>18</v>
      </c>
      <c r="M304" s="10" t="s">
        <v>2</v>
      </c>
      <c r="N304" s="10">
        <v>0</v>
      </c>
      <c r="O304" s="10"/>
    </row>
    <row r="305" spans="1:15" x14ac:dyDescent="0.25">
      <c r="A305" s="9" t="s">
        <v>353</v>
      </c>
      <c r="B305" s="15">
        <v>45820</v>
      </c>
      <c r="C305" s="9">
        <v>41</v>
      </c>
      <c r="D305" s="9" t="s">
        <v>17</v>
      </c>
      <c r="E305" s="16">
        <v>1305249</v>
      </c>
      <c r="F305" s="9">
        <v>622</v>
      </c>
      <c r="G305" s="16">
        <v>1752955</v>
      </c>
      <c r="H305" s="17">
        <v>6</v>
      </c>
      <c r="I305" s="9">
        <v>60</v>
      </c>
      <c r="J305" s="9" t="s">
        <v>13</v>
      </c>
      <c r="K305" s="18">
        <v>0.49</v>
      </c>
      <c r="L305" s="9" t="s">
        <v>18</v>
      </c>
      <c r="M305" s="9" t="s">
        <v>2</v>
      </c>
      <c r="N305" s="9">
        <v>1</v>
      </c>
      <c r="O305" s="9"/>
    </row>
    <row r="306" spans="1:15" x14ac:dyDescent="0.25">
      <c r="A306" s="10" t="s">
        <v>354</v>
      </c>
      <c r="B306" s="11">
        <v>45656</v>
      </c>
      <c r="C306" s="10">
        <v>31</v>
      </c>
      <c r="D306" s="10" t="s">
        <v>17</v>
      </c>
      <c r="E306" s="12">
        <v>1213826</v>
      </c>
      <c r="F306" s="10">
        <v>401</v>
      </c>
      <c r="G306" s="12">
        <v>1240645</v>
      </c>
      <c r="H306" s="13">
        <v>8</v>
      </c>
      <c r="I306" s="10">
        <v>24</v>
      </c>
      <c r="J306" s="10" t="s">
        <v>12</v>
      </c>
      <c r="K306" s="14">
        <v>0.13</v>
      </c>
      <c r="L306" s="10" t="s">
        <v>20</v>
      </c>
      <c r="M306" s="10" t="s">
        <v>4</v>
      </c>
      <c r="N306" s="10">
        <v>0</v>
      </c>
      <c r="O306" s="10"/>
    </row>
    <row r="307" spans="1:15" x14ac:dyDescent="0.25">
      <c r="A307" s="9" t="s">
        <v>355</v>
      </c>
      <c r="B307" s="15">
        <v>45325</v>
      </c>
      <c r="C307" s="9">
        <v>58</v>
      </c>
      <c r="D307" s="9" t="s">
        <v>16</v>
      </c>
      <c r="E307" s="16">
        <v>1008759</v>
      </c>
      <c r="F307" s="9">
        <v>715</v>
      </c>
      <c r="G307" s="16">
        <v>154795</v>
      </c>
      <c r="H307" s="17">
        <v>12</v>
      </c>
      <c r="I307" s="9">
        <v>24</v>
      </c>
      <c r="J307" s="9" t="s">
        <v>12</v>
      </c>
      <c r="K307" s="18">
        <v>0.59</v>
      </c>
      <c r="L307" s="9" t="s">
        <v>19</v>
      </c>
      <c r="M307" s="9" t="s">
        <v>3</v>
      </c>
      <c r="N307" s="9">
        <v>0</v>
      </c>
      <c r="O307" s="9"/>
    </row>
    <row r="308" spans="1:15" x14ac:dyDescent="0.25">
      <c r="A308" s="10" t="s">
        <v>356</v>
      </c>
      <c r="B308" s="11">
        <v>45602</v>
      </c>
      <c r="C308" s="10">
        <v>57</v>
      </c>
      <c r="D308" s="10" t="s">
        <v>9</v>
      </c>
      <c r="E308" s="12">
        <v>320066</v>
      </c>
      <c r="F308" s="10">
        <v>644</v>
      </c>
      <c r="G308" s="12">
        <v>176620</v>
      </c>
      <c r="H308" s="13">
        <v>13</v>
      </c>
      <c r="I308" s="10">
        <v>60</v>
      </c>
      <c r="J308" s="10" t="s">
        <v>14</v>
      </c>
      <c r="K308" s="14">
        <v>0.34</v>
      </c>
      <c r="L308" s="10" t="s">
        <v>19</v>
      </c>
      <c r="M308" s="10" t="s">
        <v>5</v>
      </c>
      <c r="N308" s="10">
        <v>0</v>
      </c>
      <c r="O308" s="10"/>
    </row>
    <row r="309" spans="1:15" x14ac:dyDescent="0.25">
      <c r="A309" s="9" t="s">
        <v>357</v>
      </c>
      <c r="B309" s="15">
        <v>45708</v>
      </c>
      <c r="C309" s="9">
        <v>36</v>
      </c>
      <c r="D309" s="9" t="s">
        <v>17</v>
      </c>
      <c r="E309" s="16">
        <v>1273338</v>
      </c>
      <c r="F309" s="9">
        <v>839</v>
      </c>
      <c r="G309" s="16">
        <v>1342337</v>
      </c>
      <c r="H309" s="17">
        <v>11</v>
      </c>
      <c r="I309" s="9">
        <v>24</v>
      </c>
      <c r="J309" s="9" t="s">
        <v>14</v>
      </c>
      <c r="K309" s="18">
        <v>0.49</v>
      </c>
      <c r="L309" s="9" t="s">
        <v>20</v>
      </c>
      <c r="M309" s="9" t="s">
        <v>2</v>
      </c>
      <c r="N309" s="9">
        <v>0</v>
      </c>
      <c r="O309" s="9"/>
    </row>
    <row r="310" spans="1:15" x14ac:dyDescent="0.25">
      <c r="A310" s="10" t="s">
        <v>358</v>
      </c>
      <c r="B310" s="11">
        <v>45451</v>
      </c>
      <c r="C310" s="10">
        <v>38</v>
      </c>
      <c r="D310" s="10" t="s">
        <v>17</v>
      </c>
      <c r="E310" s="12">
        <v>2357114</v>
      </c>
      <c r="F310" s="10">
        <v>405</v>
      </c>
      <c r="G310" s="12">
        <v>635345</v>
      </c>
      <c r="H310" s="13">
        <v>13</v>
      </c>
      <c r="I310" s="10">
        <v>60</v>
      </c>
      <c r="J310" s="10" t="s">
        <v>10</v>
      </c>
      <c r="K310" s="14">
        <v>0.28999999999999998</v>
      </c>
      <c r="L310" s="10" t="s">
        <v>21</v>
      </c>
      <c r="M310" s="10" t="s">
        <v>5</v>
      </c>
      <c r="N310" s="10">
        <v>0</v>
      </c>
      <c r="O310" s="10"/>
    </row>
    <row r="311" spans="1:15" x14ac:dyDescent="0.25">
      <c r="A311" s="9" t="s">
        <v>359</v>
      </c>
      <c r="B311" s="15">
        <v>44956</v>
      </c>
      <c r="C311" s="9">
        <v>38</v>
      </c>
      <c r="D311" s="9" t="s">
        <v>17</v>
      </c>
      <c r="E311" s="16">
        <v>743093</v>
      </c>
      <c r="F311" s="9">
        <v>540</v>
      </c>
      <c r="G311" s="16">
        <v>1996619</v>
      </c>
      <c r="H311" s="17">
        <v>21</v>
      </c>
      <c r="I311" s="9">
        <v>24</v>
      </c>
      <c r="J311" s="9" t="s">
        <v>9</v>
      </c>
      <c r="K311" s="18">
        <v>0.32</v>
      </c>
      <c r="L311" s="9" t="s">
        <v>19</v>
      </c>
      <c r="M311" s="9" t="s">
        <v>3</v>
      </c>
      <c r="N311" s="9">
        <v>1</v>
      </c>
      <c r="O311" s="9"/>
    </row>
    <row r="312" spans="1:15" x14ac:dyDescent="0.25">
      <c r="A312" s="10" t="s">
        <v>360</v>
      </c>
      <c r="B312" s="11">
        <v>45688</v>
      </c>
      <c r="C312" s="10">
        <v>57</v>
      </c>
      <c r="D312" s="10" t="s">
        <v>17</v>
      </c>
      <c r="E312" s="12">
        <v>834651</v>
      </c>
      <c r="F312" s="10">
        <v>629</v>
      </c>
      <c r="G312" s="12">
        <v>1266928</v>
      </c>
      <c r="H312" s="13">
        <v>10</v>
      </c>
      <c r="I312" s="10">
        <v>12</v>
      </c>
      <c r="J312" s="10" t="s">
        <v>9</v>
      </c>
      <c r="K312" s="14">
        <v>0.47</v>
      </c>
      <c r="L312" s="10" t="s">
        <v>21</v>
      </c>
      <c r="M312" s="10" t="s">
        <v>5</v>
      </c>
      <c r="N312" s="10">
        <v>0</v>
      </c>
      <c r="O312" s="10"/>
    </row>
    <row r="313" spans="1:15" x14ac:dyDescent="0.25">
      <c r="A313" s="9" t="s">
        <v>361</v>
      </c>
      <c r="B313" s="15">
        <v>45936</v>
      </c>
      <c r="C313" s="9">
        <v>22</v>
      </c>
      <c r="D313" s="9" t="s">
        <v>17</v>
      </c>
      <c r="E313" s="16">
        <v>1491025</v>
      </c>
      <c r="F313" s="9">
        <v>388</v>
      </c>
      <c r="G313" s="16">
        <v>1693877</v>
      </c>
      <c r="H313" s="17">
        <v>21</v>
      </c>
      <c r="I313" s="9">
        <v>36</v>
      </c>
      <c r="J313" s="9" t="s">
        <v>13</v>
      </c>
      <c r="K313" s="18">
        <v>0.51</v>
      </c>
      <c r="L313" s="9" t="s">
        <v>19</v>
      </c>
      <c r="M313" s="9" t="s">
        <v>4</v>
      </c>
      <c r="N313" s="9">
        <v>1</v>
      </c>
      <c r="O313" s="9"/>
    </row>
    <row r="314" spans="1:15" x14ac:dyDescent="0.25">
      <c r="A314" s="10" t="s">
        <v>362</v>
      </c>
      <c r="B314" s="11">
        <v>45879</v>
      </c>
      <c r="C314" s="10">
        <v>40</v>
      </c>
      <c r="D314" s="10" t="s">
        <v>9</v>
      </c>
      <c r="E314" s="12">
        <v>1893853</v>
      </c>
      <c r="F314" s="10">
        <v>493</v>
      </c>
      <c r="G314" s="12">
        <v>83367</v>
      </c>
      <c r="H314" s="13">
        <v>21</v>
      </c>
      <c r="I314" s="10">
        <v>36</v>
      </c>
      <c r="J314" s="10" t="s">
        <v>11</v>
      </c>
      <c r="K314" s="14">
        <v>0.48</v>
      </c>
      <c r="L314" s="10" t="s">
        <v>20</v>
      </c>
      <c r="M314" s="10" t="s">
        <v>3</v>
      </c>
      <c r="N314" s="10">
        <v>1</v>
      </c>
      <c r="O314" s="10"/>
    </row>
    <row r="315" spans="1:15" x14ac:dyDescent="0.25">
      <c r="A315" s="9" t="s">
        <v>363</v>
      </c>
      <c r="B315" s="15">
        <v>45981</v>
      </c>
      <c r="C315" s="9">
        <v>51</v>
      </c>
      <c r="D315" s="9" t="s">
        <v>17</v>
      </c>
      <c r="E315" s="16">
        <v>570955</v>
      </c>
      <c r="F315" s="9">
        <v>733</v>
      </c>
      <c r="G315" s="16">
        <v>1722907</v>
      </c>
      <c r="H315" s="17">
        <v>21</v>
      </c>
      <c r="I315" s="9">
        <v>24</v>
      </c>
      <c r="J315" s="9" t="s">
        <v>12</v>
      </c>
      <c r="K315" s="18">
        <v>0.19</v>
      </c>
      <c r="L315" s="9" t="s">
        <v>19</v>
      </c>
      <c r="M315" s="9" t="s">
        <v>2</v>
      </c>
      <c r="N315" s="9">
        <v>1</v>
      </c>
      <c r="O315" s="9"/>
    </row>
    <row r="316" spans="1:15" x14ac:dyDescent="0.25">
      <c r="A316" s="10" t="s">
        <v>364</v>
      </c>
      <c r="B316" s="11">
        <v>45431</v>
      </c>
      <c r="C316" s="10">
        <v>39</v>
      </c>
      <c r="D316" s="10" t="s">
        <v>17</v>
      </c>
      <c r="E316" s="12">
        <v>1932643</v>
      </c>
      <c r="F316" s="10">
        <v>803</v>
      </c>
      <c r="G316" s="12">
        <v>968771</v>
      </c>
      <c r="H316" s="13">
        <v>10</v>
      </c>
      <c r="I316" s="10">
        <v>24</v>
      </c>
      <c r="J316" s="10" t="s">
        <v>14</v>
      </c>
      <c r="K316" s="14">
        <v>0.35</v>
      </c>
      <c r="L316" s="10" t="s">
        <v>20</v>
      </c>
      <c r="M316" s="10" t="s">
        <v>5</v>
      </c>
      <c r="N316" s="10">
        <v>0</v>
      </c>
      <c r="O316" s="10"/>
    </row>
    <row r="317" spans="1:15" x14ac:dyDescent="0.25">
      <c r="A317" s="9" t="s">
        <v>365</v>
      </c>
      <c r="B317" s="15">
        <v>45560</v>
      </c>
      <c r="C317" s="9">
        <v>33</v>
      </c>
      <c r="D317" s="9" t="s">
        <v>9</v>
      </c>
      <c r="E317" s="16">
        <v>866558</v>
      </c>
      <c r="F317" s="9">
        <v>783</v>
      </c>
      <c r="G317" s="16">
        <v>1875150</v>
      </c>
      <c r="H317" s="17">
        <v>11</v>
      </c>
      <c r="I317" s="9">
        <v>12</v>
      </c>
      <c r="J317" s="9" t="s">
        <v>14</v>
      </c>
      <c r="K317" s="18">
        <v>0.52</v>
      </c>
      <c r="L317" s="9" t="s">
        <v>22</v>
      </c>
      <c r="M317" s="9" t="s">
        <v>3</v>
      </c>
      <c r="N317" s="9">
        <v>1</v>
      </c>
      <c r="O317" s="9"/>
    </row>
    <row r="318" spans="1:15" x14ac:dyDescent="0.25">
      <c r="A318" s="10" t="s">
        <v>366</v>
      </c>
      <c r="B318" s="11">
        <v>44934</v>
      </c>
      <c r="C318" s="10">
        <v>27</v>
      </c>
      <c r="D318" s="10" t="s">
        <v>16</v>
      </c>
      <c r="E318" s="12">
        <v>974722</v>
      </c>
      <c r="F318" s="10">
        <v>712</v>
      </c>
      <c r="G318" s="12">
        <v>539901</v>
      </c>
      <c r="H318" s="13">
        <v>17</v>
      </c>
      <c r="I318" s="10">
        <v>60</v>
      </c>
      <c r="J318" s="10" t="s">
        <v>13</v>
      </c>
      <c r="K318" s="14">
        <v>0.34</v>
      </c>
      <c r="L318" s="10" t="s">
        <v>22</v>
      </c>
      <c r="M318" s="10" t="s">
        <v>3</v>
      </c>
      <c r="N318" s="10">
        <v>0</v>
      </c>
      <c r="O318" s="10"/>
    </row>
    <row r="319" spans="1:15" x14ac:dyDescent="0.25">
      <c r="A319" s="9" t="s">
        <v>367</v>
      </c>
      <c r="B319" s="15">
        <v>45645</v>
      </c>
      <c r="C319" s="9">
        <v>36</v>
      </c>
      <c r="D319" s="9" t="s">
        <v>17</v>
      </c>
      <c r="E319" s="16">
        <v>617547</v>
      </c>
      <c r="F319" s="9">
        <v>652</v>
      </c>
      <c r="G319" s="16">
        <v>1038924</v>
      </c>
      <c r="H319" s="17">
        <v>13</v>
      </c>
      <c r="I319" s="9">
        <v>36</v>
      </c>
      <c r="J319" s="9" t="s">
        <v>12</v>
      </c>
      <c r="K319" s="18">
        <v>0.56000000000000005</v>
      </c>
      <c r="L319" s="9" t="s">
        <v>21</v>
      </c>
      <c r="M319" s="9" t="s">
        <v>3</v>
      </c>
      <c r="N319" s="9">
        <v>0</v>
      </c>
      <c r="O319" s="9"/>
    </row>
    <row r="320" spans="1:15" x14ac:dyDescent="0.25">
      <c r="A320" s="10" t="s">
        <v>368</v>
      </c>
      <c r="B320" s="11">
        <v>44954</v>
      </c>
      <c r="C320" s="10">
        <v>54</v>
      </c>
      <c r="D320" s="10" t="s">
        <v>17</v>
      </c>
      <c r="E320" s="12">
        <v>1495936</v>
      </c>
      <c r="F320" s="10">
        <v>725</v>
      </c>
      <c r="G320" s="12">
        <v>775816</v>
      </c>
      <c r="H320" s="13">
        <v>16</v>
      </c>
      <c r="I320" s="10">
        <v>24</v>
      </c>
      <c r="J320" s="10" t="s">
        <v>9</v>
      </c>
      <c r="K320" s="14">
        <v>0.36</v>
      </c>
      <c r="L320" s="10" t="s">
        <v>19</v>
      </c>
      <c r="M320" s="10" t="s">
        <v>2</v>
      </c>
      <c r="N320" s="10">
        <v>0</v>
      </c>
      <c r="O320" s="10"/>
    </row>
    <row r="321" spans="1:15" x14ac:dyDescent="0.25">
      <c r="A321" s="9" t="s">
        <v>369</v>
      </c>
      <c r="B321" s="15">
        <v>45485</v>
      </c>
      <c r="C321" s="9">
        <v>26</v>
      </c>
      <c r="D321" s="9" t="s">
        <v>17</v>
      </c>
      <c r="E321" s="16">
        <v>443526</v>
      </c>
      <c r="F321" s="9">
        <v>841</v>
      </c>
      <c r="G321" s="16">
        <v>874847</v>
      </c>
      <c r="H321" s="17">
        <v>21</v>
      </c>
      <c r="I321" s="9">
        <v>24</v>
      </c>
      <c r="J321" s="9" t="s">
        <v>9</v>
      </c>
      <c r="K321" s="18">
        <v>0.21</v>
      </c>
      <c r="L321" s="9" t="s">
        <v>19</v>
      </c>
      <c r="M321" s="9" t="s">
        <v>4</v>
      </c>
      <c r="N321" s="9">
        <v>1</v>
      </c>
      <c r="O321" s="9"/>
    </row>
    <row r="322" spans="1:15" x14ac:dyDescent="0.25">
      <c r="A322" s="10" t="s">
        <v>370</v>
      </c>
      <c r="B322" s="11">
        <v>45102</v>
      </c>
      <c r="C322" s="10">
        <v>60</v>
      </c>
      <c r="D322" s="10" t="s">
        <v>9</v>
      </c>
      <c r="E322" s="12">
        <v>1570485</v>
      </c>
      <c r="F322" s="10">
        <v>487</v>
      </c>
      <c r="G322" s="12">
        <v>994081</v>
      </c>
      <c r="H322" s="13">
        <v>11</v>
      </c>
      <c r="I322" s="10">
        <v>36</v>
      </c>
      <c r="J322" s="10" t="s">
        <v>13</v>
      </c>
      <c r="K322" s="14">
        <v>0.38</v>
      </c>
      <c r="L322" s="10" t="s">
        <v>22</v>
      </c>
      <c r="M322" s="10" t="s">
        <v>2</v>
      </c>
      <c r="N322" s="10">
        <v>0</v>
      </c>
      <c r="O322" s="10"/>
    </row>
    <row r="323" spans="1:15" x14ac:dyDescent="0.25">
      <c r="A323" s="9" t="s">
        <v>371</v>
      </c>
      <c r="B323" s="15">
        <v>45999</v>
      </c>
      <c r="C323" s="9">
        <v>39</v>
      </c>
      <c r="D323" s="9" t="s">
        <v>17</v>
      </c>
      <c r="E323" s="16">
        <v>1325059</v>
      </c>
      <c r="F323" s="9">
        <v>345</v>
      </c>
      <c r="G323" s="16">
        <v>802548</v>
      </c>
      <c r="H323" s="17">
        <v>16</v>
      </c>
      <c r="I323" s="9">
        <v>12</v>
      </c>
      <c r="J323" s="9" t="s">
        <v>12</v>
      </c>
      <c r="K323" s="18">
        <v>0.12</v>
      </c>
      <c r="L323" s="9" t="s">
        <v>18</v>
      </c>
      <c r="M323" s="9" t="s">
        <v>3</v>
      </c>
      <c r="N323" s="9">
        <v>0</v>
      </c>
      <c r="O323" s="9"/>
    </row>
    <row r="324" spans="1:15" x14ac:dyDescent="0.25">
      <c r="A324" s="10" t="s">
        <v>372</v>
      </c>
      <c r="B324" s="11">
        <v>45109</v>
      </c>
      <c r="C324" s="10">
        <v>34</v>
      </c>
      <c r="D324" s="10" t="s">
        <v>16</v>
      </c>
      <c r="E324" s="12">
        <v>668212</v>
      </c>
      <c r="F324" s="10">
        <v>549</v>
      </c>
      <c r="G324" s="12">
        <v>1437297</v>
      </c>
      <c r="H324" s="13">
        <v>17</v>
      </c>
      <c r="I324" s="10">
        <v>12</v>
      </c>
      <c r="J324" s="10" t="s">
        <v>11</v>
      </c>
      <c r="K324" s="14">
        <v>0.3</v>
      </c>
      <c r="L324" s="10" t="s">
        <v>22</v>
      </c>
      <c r="M324" s="10" t="s">
        <v>4</v>
      </c>
      <c r="N324" s="10">
        <v>0</v>
      </c>
      <c r="O324" s="10"/>
    </row>
    <row r="325" spans="1:15" x14ac:dyDescent="0.25">
      <c r="A325" s="9" t="s">
        <v>373</v>
      </c>
      <c r="B325" s="15">
        <v>45629</v>
      </c>
      <c r="C325" s="9">
        <v>33</v>
      </c>
      <c r="D325" s="9" t="s">
        <v>9</v>
      </c>
      <c r="E325" s="16">
        <v>2056177</v>
      </c>
      <c r="F325" s="9">
        <v>776</v>
      </c>
      <c r="G325" s="16">
        <v>1877560</v>
      </c>
      <c r="H325" s="17">
        <v>14</v>
      </c>
      <c r="I325" s="9">
        <v>24</v>
      </c>
      <c r="J325" s="9" t="s">
        <v>10</v>
      </c>
      <c r="K325" s="18">
        <v>0.51</v>
      </c>
      <c r="L325" s="9" t="s">
        <v>20</v>
      </c>
      <c r="M325" s="9" t="s">
        <v>2</v>
      </c>
      <c r="N325" s="9">
        <v>0</v>
      </c>
      <c r="O325" s="9"/>
    </row>
    <row r="326" spans="1:15" x14ac:dyDescent="0.25">
      <c r="A326" s="10" t="s">
        <v>374</v>
      </c>
      <c r="B326" s="11">
        <v>45537</v>
      </c>
      <c r="C326" s="10">
        <v>47</v>
      </c>
      <c r="D326" s="10" t="s">
        <v>17</v>
      </c>
      <c r="E326" s="12">
        <v>2331988</v>
      </c>
      <c r="F326" s="10">
        <v>415</v>
      </c>
      <c r="G326" s="12">
        <v>1451006</v>
      </c>
      <c r="H326" s="13">
        <v>20</v>
      </c>
      <c r="I326" s="10">
        <v>12</v>
      </c>
      <c r="J326" s="10" t="s">
        <v>11</v>
      </c>
      <c r="K326" s="14">
        <v>0.42</v>
      </c>
      <c r="L326" s="10" t="s">
        <v>20</v>
      </c>
      <c r="M326" s="10" t="s">
        <v>3</v>
      </c>
      <c r="N326" s="10">
        <v>0</v>
      </c>
      <c r="O326" s="10"/>
    </row>
    <row r="327" spans="1:15" x14ac:dyDescent="0.25">
      <c r="A327" s="9" t="s">
        <v>375</v>
      </c>
      <c r="B327" s="15">
        <v>45943</v>
      </c>
      <c r="C327" s="9">
        <v>60</v>
      </c>
      <c r="D327" s="9" t="s">
        <v>9</v>
      </c>
      <c r="E327" s="16">
        <v>844613</v>
      </c>
      <c r="F327" s="9">
        <v>329</v>
      </c>
      <c r="G327" s="16">
        <v>1042432</v>
      </c>
      <c r="H327" s="17">
        <v>24</v>
      </c>
      <c r="I327" s="9">
        <v>36</v>
      </c>
      <c r="J327" s="9" t="s">
        <v>13</v>
      </c>
      <c r="K327" s="18">
        <v>0.56000000000000005</v>
      </c>
      <c r="L327" s="9" t="s">
        <v>21</v>
      </c>
      <c r="M327" s="9" t="s">
        <v>5</v>
      </c>
      <c r="N327" s="9">
        <v>1</v>
      </c>
      <c r="O327" s="9"/>
    </row>
    <row r="328" spans="1:15" x14ac:dyDescent="0.25">
      <c r="A328" s="10" t="s">
        <v>376</v>
      </c>
      <c r="B328" s="11">
        <v>45027</v>
      </c>
      <c r="C328" s="10">
        <v>62</v>
      </c>
      <c r="D328" s="10" t="s">
        <v>17</v>
      </c>
      <c r="E328" s="12">
        <v>1193155</v>
      </c>
      <c r="F328" s="10">
        <v>474</v>
      </c>
      <c r="G328" s="12">
        <v>1226368</v>
      </c>
      <c r="H328" s="13">
        <v>18</v>
      </c>
      <c r="I328" s="10">
        <v>60</v>
      </c>
      <c r="J328" s="10" t="s">
        <v>10</v>
      </c>
      <c r="K328" s="14">
        <v>0.47</v>
      </c>
      <c r="L328" s="10" t="s">
        <v>22</v>
      </c>
      <c r="M328" s="10" t="s">
        <v>4</v>
      </c>
      <c r="N328" s="10">
        <v>1</v>
      </c>
      <c r="O328" s="10"/>
    </row>
    <row r="329" spans="1:15" x14ac:dyDescent="0.25">
      <c r="A329" s="9" t="s">
        <v>377</v>
      </c>
      <c r="B329" s="15">
        <v>45927</v>
      </c>
      <c r="C329" s="9">
        <v>52</v>
      </c>
      <c r="D329" s="9" t="s">
        <v>17</v>
      </c>
      <c r="E329" s="16">
        <v>1132941</v>
      </c>
      <c r="F329" s="9">
        <v>614</v>
      </c>
      <c r="G329" s="16">
        <v>597025</v>
      </c>
      <c r="H329" s="17">
        <v>21</v>
      </c>
      <c r="I329" s="9">
        <v>12</v>
      </c>
      <c r="J329" s="9" t="s">
        <v>13</v>
      </c>
      <c r="K329" s="18">
        <v>0.37</v>
      </c>
      <c r="L329" s="9" t="s">
        <v>20</v>
      </c>
      <c r="M329" s="9" t="s">
        <v>2</v>
      </c>
      <c r="N329" s="9">
        <v>0</v>
      </c>
      <c r="O329" s="9"/>
    </row>
    <row r="330" spans="1:15" x14ac:dyDescent="0.25">
      <c r="A330" s="10" t="s">
        <v>378</v>
      </c>
      <c r="B330" s="11">
        <v>45401</v>
      </c>
      <c r="C330" s="10">
        <v>64</v>
      </c>
      <c r="D330" s="10" t="s">
        <v>16</v>
      </c>
      <c r="E330" s="12">
        <v>1633471</v>
      </c>
      <c r="F330" s="10">
        <v>577</v>
      </c>
      <c r="G330" s="12">
        <v>1956662</v>
      </c>
      <c r="H330" s="13">
        <v>16</v>
      </c>
      <c r="I330" s="10">
        <v>12</v>
      </c>
      <c r="J330" s="10" t="s">
        <v>12</v>
      </c>
      <c r="K330" s="14">
        <v>0.25</v>
      </c>
      <c r="L330" s="10" t="s">
        <v>18</v>
      </c>
      <c r="M330" s="10" t="s">
        <v>2</v>
      </c>
      <c r="N330" s="10">
        <v>1</v>
      </c>
      <c r="O330" s="10"/>
    </row>
    <row r="331" spans="1:15" x14ac:dyDescent="0.25">
      <c r="A331" s="9" t="s">
        <v>379</v>
      </c>
      <c r="B331" s="15">
        <v>45766</v>
      </c>
      <c r="C331" s="9">
        <v>35</v>
      </c>
      <c r="D331" s="9" t="s">
        <v>16</v>
      </c>
      <c r="E331" s="16">
        <v>1816844</v>
      </c>
      <c r="F331" s="9">
        <v>644</v>
      </c>
      <c r="G331" s="16">
        <v>727218</v>
      </c>
      <c r="H331" s="17">
        <v>11</v>
      </c>
      <c r="I331" s="9">
        <v>60</v>
      </c>
      <c r="J331" s="9" t="s">
        <v>11</v>
      </c>
      <c r="K331" s="18">
        <v>0.14000000000000001</v>
      </c>
      <c r="L331" s="9" t="s">
        <v>20</v>
      </c>
      <c r="M331" s="9" t="s">
        <v>5</v>
      </c>
      <c r="N331" s="9">
        <v>0</v>
      </c>
      <c r="O331" s="9"/>
    </row>
    <row r="332" spans="1:15" x14ac:dyDescent="0.25">
      <c r="A332" s="10" t="s">
        <v>380</v>
      </c>
      <c r="B332" s="11">
        <v>45800</v>
      </c>
      <c r="C332" s="10">
        <v>34</v>
      </c>
      <c r="D332" s="10" t="s">
        <v>9</v>
      </c>
      <c r="E332" s="12">
        <v>1764061</v>
      </c>
      <c r="F332" s="10">
        <v>339</v>
      </c>
      <c r="G332" s="12">
        <v>462966</v>
      </c>
      <c r="H332" s="13">
        <v>8</v>
      </c>
      <c r="I332" s="10">
        <v>36</v>
      </c>
      <c r="J332" s="10" t="s">
        <v>10</v>
      </c>
      <c r="K332" s="14">
        <v>0.3</v>
      </c>
      <c r="L332" s="10" t="s">
        <v>19</v>
      </c>
      <c r="M332" s="10" t="s">
        <v>5</v>
      </c>
      <c r="N332" s="10">
        <v>0</v>
      </c>
      <c r="O332" s="10"/>
    </row>
    <row r="333" spans="1:15" x14ac:dyDescent="0.25">
      <c r="A333" s="9" t="s">
        <v>381</v>
      </c>
      <c r="B333" s="15">
        <v>45430</v>
      </c>
      <c r="C333" s="9">
        <v>53</v>
      </c>
      <c r="D333" s="9" t="s">
        <v>17</v>
      </c>
      <c r="E333" s="16">
        <v>529096</v>
      </c>
      <c r="F333" s="9">
        <v>317</v>
      </c>
      <c r="G333" s="16">
        <v>1338028</v>
      </c>
      <c r="H333" s="17">
        <v>15</v>
      </c>
      <c r="I333" s="9">
        <v>24</v>
      </c>
      <c r="J333" s="9" t="s">
        <v>10</v>
      </c>
      <c r="K333" s="18">
        <v>0.12</v>
      </c>
      <c r="L333" s="9" t="s">
        <v>21</v>
      </c>
      <c r="M333" s="9" t="s">
        <v>3</v>
      </c>
      <c r="N333" s="9">
        <v>0</v>
      </c>
      <c r="O333" s="9"/>
    </row>
    <row r="334" spans="1:15" x14ac:dyDescent="0.25">
      <c r="A334" s="10" t="s">
        <v>382</v>
      </c>
      <c r="B334" s="11">
        <v>45693</v>
      </c>
      <c r="C334" s="10">
        <v>54</v>
      </c>
      <c r="D334" s="10" t="s">
        <v>9</v>
      </c>
      <c r="E334" s="12">
        <v>1158814</v>
      </c>
      <c r="F334" s="10">
        <v>362</v>
      </c>
      <c r="G334" s="12">
        <v>1688989</v>
      </c>
      <c r="H334" s="13">
        <v>6</v>
      </c>
      <c r="I334" s="10">
        <v>24</v>
      </c>
      <c r="J334" s="10" t="s">
        <v>14</v>
      </c>
      <c r="K334" s="14">
        <v>0.24</v>
      </c>
      <c r="L334" s="10" t="s">
        <v>18</v>
      </c>
      <c r="M334" s="10" t="s">
        <v>4</v>
      </c>
      <c r="N334" s="10">
        <v>1</v>
      </c>
      <c r="O334" s="10"/>
    </row>
    <row r="335" spans="1:15" x14ac:dyDescent="0.25">
      <c r="A335" s="9" t="s">
        <v>383</v>
      </c>
      <c r="B335" s="15">
        <v>45687</v>
      </c>
      <c r="C335" s="9">
        <v>44</v>
      </c>
      <c r="D335" s="9" t="s">
        <v>9</v>
      </c>
      <c r="E335" s="16">
        <v>1445289</v>
      </c>
      <c r="F335" s="9">
        <v>559</v>
      </c>
      <c r="G335" s="16">
        <v>1231705</v>
      </c>
      <c r="H335" s="17">
        <v>8</v>
      </c>
      <c r="I335" s="9">
        <v>24</v>
      </c>
      <c r="J335" s="9" t="s">
        <v>12</v>
      </c>
      <c r="K335" s="18">
        <v>0.48</v>
      </c>
      <c r="L335" s="9" t="s">
        <v>18</v>
      </c>
      <c r="M335" s="9" t="s">
        <v>3</v>
      </c>
      <c r="N335" s="9">
        <v>1</v>
      </c>
      <c r="O335" s="9"/>
    </row>
    <row r="336" spans="1:15" x14ac:dyDescent="0.25">
      <c r="A336" s="10" t="s">
        <v>384</v>
      </c>
      <c r="B336" s="11">
        <v>45083</v>
      </c>
      <c r="C336" s="10">
        <v>37</v>
      </c>
      <c r="D336" s="10" t="s">
        <v>16</v>
      </c>
      <c r="E336" s="12">
        <v>1851463</v>
      </c>
      <c r="F336" s="10">
        <v>768</v>
      </c>
      <c r="G336" s="12">
        <v>210690</v>
      </c>
      <c r="H336" s="13">
        <v>10</v>
      </c>
      <c r="I336" s="10">
        <v>36</v>
      </c>
      <c r="J336" s="10" t="s">
        <v>9</v>
      </c>
      <c r="K336" s="14">
        <v>0.45</v>
      </c>
      <c r="L336" s="10" t="s">
        <v>19</v>
      </c>
      <c r="M336" s="10" t="s">
        <v>4</v>
      </c>
      <c r="N336" s="10">
        <v>0</v>
      </c>
      <c r="O336" s="10"/>
    </row>
    <row r="337" spans="1:15" x14ac:dyDescent="0.25">
      <c r="A337" s="9" t="s">
        <v>385</v>
      </c>
      <c r="B337" s="15">
        <v>45366</v>
      </c>
      <c r="C337" s="9">
        <v>61</v>
      </c>
      <c r="D337" s="9" t="s">
        <v>9</v>
      </c>
      <c r="E337" s="16">
        <v>850308</v>
      </c>
      <c r="F337" s="9">
        <v>383</v>
      </c>
      <c r="G337" s="16">
        <v>1195158</v>
      </c>
      <c r="H337" s="17">
        <v>18</v>
      </c>
      <c r="I337" s="9">
        <v>12</v>
      </c>
      <c r="J337" s="9" t="s">
        <v>10</v>
      </c>
      <c r="K337" s="18">
        <v>0.47</v>
      </c>
      <c r="L337" s="9" t="s">
        <v>22</v>
      </c>
      <c r="M337" s="9" t="s">
        <v>5</v>
      </c>
      <c r="N337" s="9">
        <v>1</v>
      </c>
      <c r="O337" s="9"/>
    </row>
    <row r="338" spans="1:15" x14ac:dyDescent="0.25">
      <c r="A338" s="10" t="s">
        <v>386</v>
      </c>
      <c r="B338" s="11">
        <v>45561</v>
      </c>
      <c r="C338" s="10">
        <v>46</v>
      </c>
      <c r="D338" s="10" t="s">
        <v>9</v>
      </c>
      <c r="E338" s="12">
        <v>2076974</v>
      </c>
      <c r="F338" s="10">
        <v>725</v>
      </c>
      <c r="G338" s="12">
        <v>1929850</v>
      </c>
      <c r="H338" s="13">
        <v>11</v>
      </c>
      <c r="I338" s="10">
        <v>60</v>
      </c>
      <c r="J338" s="10" t="s">
        <v>11</v>
      </c>
      <c r="K338" s="14">
        <v>0.3</v>
      </c>
      <c r="L338" s="10" t="s">
        <v>21</v>
      </c>
      <c r="M338" s="10" t="s">
        <v>3</v>
      </c>
      <c r="N338" s="10">
        <v>0</v>
      </c>
      <c r="O338" s="10"/>
    </row>
    <row r="339" spans="1:15" x14ac:dyDescent="0.25">
      <c r="A339" s="9" t="s">
        <v>387</v>
      </c>
      <c r="B339" s="15">
        <v>45021</v>
      </c>
      <c r="C339" s="9">
        <v>54</v>
      </c>
      <c r="D339" s="9" t="s">
        <v>9</v>
      </c>
      <c r="E339" s="16">
        <v>1296996</v>
      </c>
      <c r="F339" s="9">
        <v>835</v>
      </c>
      <c r="G339" s="16">
        <v>1804935</v>
      </c>
      <c r="H339" s="17">
        <v>23</v>
      </c>
      <c r="I339" s="9">
        <v>24</v>
      </c>
      <c r="J339" s="9" t="s">
        <v>14</v>
      </c>
      <c r="K339" s="18">
        <v>0.26</v>
      </c>
      <c r="L339" s="9" t="s">
        <v>20</v>
      </c>
      <c r="M339" s="9" t="s">
        <v>2</v>
      </c>
      <c r="N339" s="9">
        <v>0</v>
      </c>
      <c r="O339" s="9"/>
    </row>
    <row r="340" spans="1:15" x14ac:dyDescent="0.25">
      <c r="A340" s="10" t="s">
        <v>388</v>
      </c>
      <c r="B340" s="11">
        <v>45601</v>
      </c>
      <c r="C340" s="10">
        <v>38</v>
      </c>
      <c r="D340" s="10" t="s">
        <v>9</v>
      </c>
      <c r="E340" s="12">
        <v>2027331</v>
      </c>
      <c r="F340" s="10">
        <v>502</v>
      </c>
      <c r="G340" s="12">
        <v>1619172</v>
      </c>
      <c r="H340" s="13">
        <v>18</v>
      </c>
      <c r="I340" s="10">
        <v>60</v>
      </c>
      <c r="J340" s="10" t="s">
        <v>9</v>
      </c>
      <c r="K340" s="14">
        <v>0.21</v>
      </c>
      <c r="L340" s="10" t="s">
        <v>18</v>
      </c>
      <c r="M340" s="10" t="s">
        <v>4</v>
      </c>
      <c r="N340" s="10">
        <v>1</v>
      </c>
      <c r="O340" s="10"/>
    </row>
    <row r="341" spans="1:15" x14ac:dyDescent="0.25">
      <c r="A341" s="9" t="s">
        <v>389</v>
      </c>
      <c r="B341" s="15">
        <v>44981</v>
      </c>
      <c r="C341" s="9">
        <v>54</v>
      </c>
      <c r="D341" s="9" t="s">
        <v>17</v>
      </c>
      <c r="E341" s="16">
        <v>1733727</v>
      </c>
      <c r="F341" s="9">
        <v>796</v>
      </c>
      <c r="G341" s="16">
        <v>1300614</v>
      </c>
      <c r="H341" s="17">
        <v>23</v>
      </c>
      <c r="I341" s="9">
        <v>36</v>
      </c>
      <c r="J341" s="9" t="s">
        <v>13</v>
      </c>
      <c r="K341" s="18">
        <v>0.41</v>
      </c>
      <c r="L341" s="9" t="s">
        <v>21</v>
      </c>
      <c r="M341" s="9" t="s">
        <v>3</v>
      </c>
      <c r="N341" s="9">
        <v>0</v>
      </c>
      <c r="O341" s="9"/>
    </row>
    <row r="342" spans="1:15" x14ac:dyDescent="0.25">
      <c r="A342" s="10" t="s">
        <v>390</v>
      </c>
      <c r="B342" s="11">
        <v>45623</v>
      </c>
      <c r="C342" s="10">
        <v>54</v>
      </c>
      <c r="D342" s="10" t="s">
        <v>9</v>
      </c>
      <c r="E342" s="12">
        <v>632489</v>
      </c>
      <c r="F342" s="10">
        <v>313</v>
      </c>
      <c r="G342" s="12">
        <v>1444681</v>
      </c>
      <c r="H342" s="13">
        <v>15</v>
      </c>
      <c r="I342" s="10">
        <v>60</v>
      </c>
      <c r="J342" s="10" t="s">
        <v>11</v>
      </c>
      <c r="K342" s="14">
        <v>0.52</v>
      </c>
      <c r="L342" s="10" t="s">
        <v>21</v>
      </c>
      <c r="M342" s="10" t="s">
        <v>5</v>
      </c>
      <c r="N342" s="10">
        <v>1</v>
      </c>
      <c r="O342" s="10"/>
    </row>
    <row r="343" spans="1:15" x14ac:dyDescent="0.25">
      <c r="A343" s="9" t="s">
        <v>391</v>
      </c>
      <c r="B343" s="15">
        <v>45942</v>
      </c>
      <c r="C343" s="9">
        <v>23</v>
      </c>
      <c r="D343" s="9" t="s">
        <v>9</v>
      </c>
      <c r="E343" s="16">
        <v>1295179</v>
      </c>
      <c r="F343" s="9">
        <v>480</v>
      </c>
      <c r="G343" s="16">
        <v>1692599</v>
      </c>
      <c r="H343" s="17">
        <v>21</v>
      </c>
      <c r="I343" s="9">
        <v>60</v>
      </c>
      <c r="J343" s="9" t="s">
        <v>14</v>
      </c>
      <c r="K343" s="18">
        <v>0.4</v>
      </c>
      <c r="L343" s="9" t="s">
        <v>21</v>
      </c>
      <c r="M343" s="9" t="s">
        <v>2</v>
      </c>
      <c r="N343" s="9">
        <v>1</v>
      </c>
      <c r="O343" s="9"/>
    </row>
    <row r="344" spans="1:15" x14ac:dyDescent="0.25">
      <c r="A344" s="10" t="s">
        <v>392</v>
      </c>
      <c r="B344" s="11">
        <v>45527</v>
      </c>
      <c r="C344" s="10">
        <v>31</v>
      </c>
      <c r="D344" s="10" t="s">
        <v>17</v>
      </c>
      <c r="E344" s="12">
        <v>812600</v>
      </c>
      <c r="F344" s="10">
        <v>848</v>
      </c>
      <c r="G344" s="12">
        <v>302203</v>
      </c>
      <c r="H344" s="13">
        <v>15</v>
      </c>
      <c r="I344" s="10">
        <v>36</v>
      </c>
      <c r="J344" s="10" t="s">
        <v>12</v>
      </c>
      <c r="K344" s="14">
        <v>0.48</v>
      </c>
      <c r="L344" s="10" t="s">
        <v>20</v>
      </c>
      <c r="M344" s="10" t="s">
        <v>5</v>
      </c>
      <c r="N344" s="10">
        <v>0</v>
      </c>
      <c r="O344" s="10"/>
    </row>
    <row r="345" spans="1:15" x14ac:dyDescent="0.25">
      <c r="A345" s="9" t="s">
        <v>393</v>
      </c>
      <c r="B345" s="15">
        <v>45761</v>
      </c>
      <c r="C345" s="9">
        <v>61</v>
      </c>
      <c r="D345" s="9" t="s">
        <v>16</v>
      </c>
      <c r="E345" s="16">
        <v>1502315</v>
      </c>
      <c r="F345" s="9">
        <v>583</v>
      </c>
      <c r="G345" s="16">
        <v>560536</v>
      </c>
      <c r="H345" s="17">
        <v>24</v>
      </c>
      <c r="I345" s="9">
        <v>36</v>
      </c>
      <c r="J345" s="9" t="s">
        <v>14</v>
      </c>
      <c r="K345" s="18">
        <v>0.41</v>
      </c>
      <c r="L345" s="9" t="s">
        <v>19</v>
      </c>
      <c r="M345" s="9" t="s">
        <v>5</v>
      </c>
      <c r="N345" s="9">
        <v>1</v>
      </c>
      <c r="O345" s="9"/>
    </row>
    <row r="346" spans="1:15" x14ac:dyDescent="0.25">
      <c r="A346" s="10" t="s">
        <v>394</v>
      </c>
      <c r="B346" s="11">
        <v>44960</v>
      </c>
      <c r="C346" s="10">
        <v>60</v>
      </c>
      <c r="D346" s="10" t="s">
        <v>17</v>
      </c>
      <c r="E346" s="12">
        <v>1606920</v>
      </c>
      <c r="F346" s="10">
        <v>690</v>
      </c>
      <c r="G346" s="12">
        <v>716839</v>
      </c>
      <c r="H346" s="13">
        <v>13</v>
      </c>
      <c r="I346" s="10">
        <v>12</v>
      </c>
      <c r="J346" s="10" t="s">
        <v>11</v>
      </c>
      <c r="K346" s="14">
        <v>0.55000000000000004</v>
      </c>
      <c r="L346" s="10" t="s">
        <v>19</v>
      </c>
      <c r="M346" s="10" t="s">
        <v>3</v>
      </c>
      <c r="N346" s="10">
        <v>1</v>
      </c>
      <c r="O346" s="10"/>
    </row>
    <row r="347" spans="1:15" x14ac:dyDescent="0.25">
      <c r="A347" s="9" t="s">
        <v>395</v>
      </c>
      <c r="B347" s="15">
        <v>45026</v>
      </c>
      <c r="C347" s="9">
        <v>39</v>
      </c>
      <c r="D347" s="9" t="s">
        <v>16</v>
      </c>
      <c r="E347" s="16">
        <v>2242322</v>
      </c>
      <c r="F347" s="9">
        <v>588</v>
      </c>
      <c r="G347" s="16">
        <v>281288</v>
      </c>
      <c r="H347" s="17">
        <v>15</v>
      </c>
      <c r="I347" s="9">
        <v>60</v>
      </c>
      <c r="J347" s="9" t="s">
        <v>10</v>
      </c>
      <c r="K347" s="18">
        <v>0.59</v>
      </c>
      <c r="L347" s="9" t="s">
        <v>19</v>
      </c>
      <c r="M347" s="9" t="s">
        <v>5</v>
      </c>
      <c r="N347" s="9">
        <v>1</v>
      </c>
      <c r="O347" s="9"/>
    </row>
    <row r="348" spans="1:15" x14ac:dyDescent="0.25">
      <c r="A348" s="10" t="s">
        <v>396</v>
      </c>
      <c r="B348" s="11">
        <v>44960</v>
      </c>
      <c r="C348" s="10">
        <v>30</v>
      </c>
      <c r="D348" s="10" t="s">
        <v>17</v>
      </c>
      <c r="E348" s="12">
        <v>1974248</v>
      </c>
      <c r="F348" s="10">
        <v>536</v>
      </c>
      <c r="G348" s="12">
        <v>1104265</v>
      </c>
      <c r="H348" s="13">
        <v>10</v>
      </c>
      <c r="I348" s="10">
        <v>12</v>
      </c>
      <c r="J348" s="10" t="s">
        <v>10</v>
      </c>
      <c r="K348" s="14">
        <v>0.13</v>
      </c>
      <c r="L348" s="10" t="s">
        <v>19</v>
      </c>
      <c r="M348" s="10" t="s">
        <v>3</v>
      </c>
      <c r="N348" s="10">
        <v>0</v>
      </c>
      <c r="O348" s="10"/>
    </row>
    <row r="349" spans="1:15" x14ac:dyDescent="0.25">
      <c r="A349" s="9" t="s">
        <v>397</v>
      </c>
      <c r="B349" s="15">
        <v>45960</v>
      </c>
      <c r="C349" s="9">
        <v>51</v>
      </c>
      <c r="D349" s="9" t="s">
        <v>16</v>
      </c>
      <c r="E349" s="16">
        <v>586249</v>
      </c>
      <c r="F349" s="9">
        <v>639</v>
      </c>
      <c r="G349" s="16">
        <v>1623282</v>
      </c>
      <c r="H349" s="17">
        <v>19</v>
      </c>
      <c r="I349" s="9">
        <v>12</v>
      </c>
      <c r="J349" s="9" t="s">
        <v>10</v>
      </c>
      <c r="K349" s="18">
        <v>0.6</v>
      </c>
      <c r="L349" s="9" t="s">
        <v>22</v>
      </c>
      <c r="M349" s="9" t="s">
        <v>2</v>
      </c>
      <c r="N349" s="9">
        <v>1</v>
      </c>
      <c r="O349" s="9"/>
    </row>
    <row r="350" spans="1:15" x14ac:dyDescent="0.25">
      <c r="A350" s="10" t="s">
        <v>398</v>
      </c>
      <c r="B350" s="11">
        <v>44999</v>
      </c>
      <c r="C350" s="10">
        <v>52</v>
      </c>
      <c r="D350" s="10" t="s">
        <v>16</v>
      </c>
      <c r="E350" s="12">
        <v>488781</v>
      </c>
      <c r="F350" s="10">
        <v>763</v>
      </c>
      <c r="G350" s="12">
        <v>97889</v>
      </c>
      <c r="H350" s="13">
        <v>17</v>
      </c>
      <c r="I350" s="10">
        <v>24</v>
      </c>
      <c r="J350" s="10" t="s">
        <v>11</v>
      </c>
      <c r="K350" s="14">
        <v>0.28999999999999998</v>
      </c>
      <c r="L350" s="10" t="s">
        <v>22</v>
      </c>
      <c r="M350" s="10" t="s">
        <v>3</v>
      </c>
      <c r="N350" s="10">
        <v>0</v>
      </c>
      <c r="O350" s="10"/>
    </row>
    <row r="351" spans="1:15" x14ac:dyDescent="0.25">
      <c r="A351" s="9" t="s">
        <v>399</v>
      </c>
      <c r="B351" s="15">
        <v>45908</v>
      </c>
      <c r="C351" s="9">
        <v>34</v>
      </c>
      <c r="D351" s="9" t="s">
        <v>16</v>
      </c>
      <c r="E351" s="16">
        <v>1812113</v>
      </c>
      <c r="F351" s="9">
        <v>559</v>
      </c>
      <c r="G351" s="16">
        <v>1245568</v>
      </c>
      <c r="H351" s="17">
        <v>20</v>
      </c>
      <c r="I351" s="9">
        <v>60</v>
      </c>
      <c r="J351" s="9" t="s">
        <v>11</v>
      </c>
      <c r="K351" s="18">
        <v>0.55000000000000004</v>
      </c>
      <c r="L351" s="9" t="s">
        <v>18</v>
      </c>
      <c r="M351" s="9" t="s">
        <v>5</v>
      </c>
      <c r="N351" s="9">
        <v>1</v>
      </c>
      <c r="O351" s="9"/>
    </row>
    <row r="352" spans="1:15" x14ac:dyDescent="0.25">
      <c r="A352" s="10" t="s">
        <v>400</v>
      </c>
      <c r="B352" s="11">
        <v>45059</v>
      </c>
      <c r="C352" s="10">
        <v>27</v>
      </c>
      <c r="D352" s="10" t="s">
        <v>9</v>
      </c>
      <c r="E352" s="12">
        <v>587799</v>
      </c>
      <c r="F352" s="10">
        <v>473</v>
      </c>
      <c r="G352" s="12">
        <v>1730016</v>
      </c>
      <c r="H352" s="13">
        <v>8</v>
      </c>
      <c r="I352" s="10">
        <v>36</v>
      </c>
      <c r="J352" s="10" t="s">
        <v>9</v>
      </c>
      <c r="K352" s="14">
        <v>0.15</v>
      </c>
      <c r="L352" s="10" t="s">
        <v>20</v>
      </c>
      <c r="M352" s="10" t="s">
        <v>2</v>
      </c>
      <c r="N352" s="10">
        <v>1</v>
      </c>
      <c r="O352" s="10"/>
    </row>
    <row r="353" spans="1:15" x14ac:dyDescent="0.25">
      <c r="A353" s="9" t="s">
        <v>401</v>
      </c>
      <c r="B353" s="15">
        <v>45714</v>
      </c>
      <c r="C353" s="9">
        <v>22</v>
      </c>
      <c r="D353" s="9" t="s">
        <v>16</v>
      </c>
      <c r="E353" s="16">
        <v>1469215</v>
      </c>
      <c r="F353" s="9">
        <v>395</v>
      </c>
      <c r="G353" s="16">
        <v>1297930</v>
      </c>
      <c r="H353" s="17">
        <v>6</v>
      </c>
      <c r="I353" s="9">
        <v>36</v>
      </c>
      <c r="J353" s="9" t="s">
        <v>12</v>
      </c>
      <c r="K353" s="18">
        <v>0.19</v>
      </c>
      <c r="L353" s="9" t="s">
        <v>21</v>
      </c>
      <c r="M353" s="9" t="s">
        <v>5</v>
      </c>
      <c r="N353" s="9">
        <v>0</v>
      </c>
      <c r="O353" s="9"/>
    </row>
    <row r="354" spans="1:15" x14ac:dyDescent="0.25">
      <c r="A354" s="10" t="s">
        <v>402</v>
      </c>
      <c r="B354" s="11">
        <v>45883</v>
      </c>
      <c r="C354" s="10">
        <v>59</v>
      </c>
      <c r="D354" s="10" t="s">
        <v>16</v>
      </c>
      <c r="E354" s="12">
        <v>392471</v>
      </c>
      <c r="F354" s="10">
        <v>442</v>
      </c>
      <c r="G354" s="12">
        <v>1857531</v>
      </c>
      <c r="H354" s="13">
        <v>6</v>
      </c>
      <c r="I354" s="10">
        <v>24</v>
      </c>
      <c r="J354" s="10" t="s">
        <v>12</v>
      </c>
      <c r="K354" s="14">
        <v>0.59</v>
      </c>
      <c r="L354" s="10" t="s">
        <v>21</v>
      </c>
      <c r="M354" s="10" t="s">
        <v>2</v>
      </c>
      <c r="N354" s="10">
        <v>1</v>
      </c>
      <c r="O354" s="10"/>
    </row>
    <row r="355" spans="1:15" x14ac:dyDescent="0.25">
      <c r="A355" s="9" t="s">
        <v>403</v>
      </c>
      <c r="B355" s="15">
        <v>45626</v>
      </c>
      <c r="C355" s="9">
        <v>44</v>
      </c>
      <c r="D355" s="9" t="s">
        <v>9</v>
      </c>
      <c r="E355" s="16">
        <v>2388543</v>
      </c>
      <c r="F355" s="9">
        <v>835</v>
      </c>
      <c r="G355" s="16">
        <v>128715</v>
      </c>
      <c r="H355" s="17">
        <v>7</v>
      </c>
      <c r="I355" s="9">
        <v>60</v>
      </c>
      <c r="J355" s="9" t="s">
        <v>14</v>
      </c>
      <c r="K355" s="18">
        <v>0.11</v>
      </c>
      <c r="L355" s="9" t="s">
        <v>18</v>
      </c>
      <c r="M355" s="9" t="s">
        <v>3</v>
      </c>
      <c r="N355" s="9">
        <v>1</v>
      </c>
      <c r="O355" s="9"/>
    </row>
    <row r="356" spans="1:15" x14ac:dyDescent="0.25">
      <c r="A356" s="10" t="s">
        <v>404</v>
      </c>
      <c r="B356" s="11">
        <v>45394</v>
      </c>
      <c r="C356" s="10">
        <v>61</v>
      </c>
      <c r="D356" s="10" t="s">
        <v>17</v>
      </c>
      <c r="E356" s="12">
        <v>1105058</v>
      </c>
      <c r="F356" s="10">
        <v>530</v>
      </c>
      <c r="G356" s="12">
        <v>525382</v>
      </c>
      <c r="H356" s="13">
        <v>21</v>
      </c>
      <c r="I356" s="10">
        <v>24</v>
      </c>
      <c r="J356" s="10" t="s">
        <v>14</v>
      </c>
      <c r="K356" s="14">
        <v>0.39</v>
      </c>
      <c r="L356" s="10" t="s">
        <v>19</v>
      </c>
      <c r="M356" s="10" t="s">
        <v>3</v>
      </c>
      <c r="N356" s="10">
        <v>0</v>
      </c>
      <c r="O356" s="10"/>
    </row>
    <row r="357" spans="1:15" x14ac:dyDescent="0.25">
      <c r="A357" s="9" t="s">
        <v>405</v>
      </c>
      <c r="B357" s="15">
        <v>46007</v>
      </c>
      <c r="C357" s="9">
        <v>25</v>
      </c>
      <c r="D357" s="9" t="s">
        <v>17</v>
      </c>
      <c r="E357" s="16">
        <v>1297481</v>
      </c>
      <c r="F357" s="9">
        <v>700</v>
      </c>
      <c r="G357" s="16">
        <v>757258</v>
      </c>
      <c r="H357" s="17">
        <v>14</v>
      </c>
      <c r="I357" s="9">
        <v>24</v>
      </c>
      <c r="J357" s="9" t="s">
        <v>10</v>
      </c>
      <c r="K357" s="18">
        <v>0.32</v>
      </c>
      <c r="L357" s="9" t="s">
        <v>18</v>
      </c>
      <c r="M357" s="9" t="s">
        <v>5</v>
      </c>
      <c r="N357" s="9">
        <v>0</v>
      </c>
      <c r="O357" s="9"/>
    </row>
    <row r="358" spans="1:15" x14ac:dyDescent="0.25">
      <c r="A358" s="10" t="s">
        <v>406</v>
      </c>
      <c r="B358" s="11">
        <v>45539</v>
      </c>
      <c r="C358" s="10">
        <v>49</v>
      </c>
      <c r="D358" s="10" t="s">
        <v>17</v>
      </c>
      <c r="E358" s="12">
        <v>1099172</v>
      </c>
      <c r="F358" s="10">
        <v>813</v>
      </c>
      <c r="G358" s="12">
        <v>462942</v>
      </c>
      <c r="H358" s="13">
        <v>22</v>
      </c>
      <c r="I358" s="10">
        <v>36</v>
      </c>
      <c r="J358" s="10" t="s">
        <v>12</v>
      </c>
      <c r="K358" s="14">
        <v>0.15</v>
      </c>
      <c r="L358" s="10" t="s">
        <v>20</v>
      </c>
      <c r="M358" s="10" t="s">
        <v>4</v>
      </c>
      <c r="N358" s="10">
        <v>0</v>
      </c>
      <c r="O358" s="10"/>
    </row>
    <row r="359" spans="1:15" x14ac:dyDescent="0.25">
      <c r="A359" s="9" t="s">
        <v>407</v>
      </c>
      <c r="B359" s="15">
        <v>45517</v>
      </c>
      <c r="C359" s="9">
        <v>48</v>
      </c>
      <c r="D359" s="9" t="s">
        <v>17</v>
      </c>
      <c r="E359" s="16">
        <v>288931</v>
      </c>
      <c r="F359" s="9">
        <v>738</v>
      </c>
      <c r="G359" s="16">
        <v>1823851</v>
      </c>
      <c r="H359" s="17">
        <v>18</v>
      </c>
      <c r="I359" s="9">
        <v>36</v>
      </c>
      <c r="J359" s="9" t="s">
        <v>11</v>
      </c>
      <c r="K359" s="18">
        <v>0.43</v>
      </c>
      <c r="L359" s="9" t="s">
        <v>20</v>
      </c>
      <c r="M359" s="9" t="s">
        <v>3</v>
      </c>
      <c r="N359" s="9">
        <v>0</v>
      </c>
      <c r="O359" s="9"/>
    </row>
    <row r="360" spans="1:15" x14ac:dyDescent="0.25">
      <c r="A360" s="10" t="s">
        <v>408</v>
      </c>
      <c r="B360" s="11">
        <v>45991</v>
      </c>
      <c r="C360" s="10">
        <v>43</v>
      </c>
      <c r="D360" s="10" t="s">
        <v>16</v>
      </c>
      <c r="E360" s="12">
        <v>1372526</v>
      </c>
      <c r="F360" s="10">
        <v>404</v>
      </c>
      <c r="G360" s="12">
        <v>1733001</v>
      </c>
      <c r="H360" s="13">
        <v>16</v>
      </c>
      <c r="I360" s="10">
        <v>60</v>
      </c>
      <c r="J360" s="10" t="s">
        <v>11</v>
      </c>
      <c r="K360" s="14">
        <v>0.51</v>
      </c>
      <c r="L360" s="10" t="s">
        <v>19</v>
      </c>
      <c r="M360" s="10" t="s">
        <v>3</v>
      </c>
      <c r="N360" s="10">
        <v>1</v>
      </c>
      <c r="O360" s="10"/>
    </row>
    <row r="361" spans="1:15" x14ac:dyDescent="0.25">
      <c r="A361" s="9" t="s">
        <v>409</v>
      </c>
      <c r="B361" s="15">
        <v>45083</v>
      </c>
      <c r="C361" s="9">
        <v>26</v>
      </c>
      <c r="D361" s="9" t="s">
        <v>17</v>
      </c>
      <c r="E361" s="16">
        <v>1721051</v>
      </c>
      <c r="F361" s="9">
        <v>408</v>
      </c>
      <c r="G361" s="16">
        <v>1291902</v>
      </c>
      <c r="H361" s="17">
        <v>22</v>
      </c>
      <c r="I361" s="9">
        <v>24</v>
      </c>
      <c r="J361" s="9" t="s">
        <v>14</v>
      </c>
      <c r="K361" s="18">
        <v>0.17</v>
      </c>
      <c r="L361" s="9" t="s">
        <v>21</v>
      </c>
      <c r="M361" s="9" t="s">
        <v>5</v>
      </c>
      <c r="N361" s="9">
        <v>0</v>
      </c>
      <c r="O361" s="9"/>
    </row>
    <row r="362" spans="1:15" x14ac:dyDescent="0.25">
      <c r="A362" s="10" t="s">
        <v>410</v>
      </c>
      <c r="B362" s="11">
        <v>45702</v>
      </c>
      <c r="C362" s="10">
        <v>51</v>
      </c>
      <c r="D362" s="10" t="s">
        <v>17</v>
      </c>
      <c r="E362" s="12">
        <v>2239883</v>
      </c>
      <c r="F362" s="10">
        <v>631</v>
      </c>
      <c r="G362" s="12">
        <v>85750</v>
      </c>
      <c r="H362" s="13">
        <v>18</v>
      </c>
      <c r="I362" s="10">
        <v>12</v>
      </c>
      <c r="J362" s="10" t="s">
        <v>10</v>
      </c>
      <c r="K362" s="14">
        <v>0.22</v>
      </c>
      <c r="L362" s="10" t="s">
        <v>19</v>
      </c>
      <c r="M362" s="10" t="s">
        <v>5</v>
      </c>
      <c r="N362" s="10">
        <v>0</v>
      </c>
      <c r="O362" s="10"/>
    </row>
    <row r="363" spans="1:15" x14ac:dyDescent="0.25">
      <c r="A363" s="9" t="s">
        <v>411</v>
      </c>
      <c r="B363" s="15">
        <v>45356</v>
      </c>
      <c r="C363" s="9">
        <v>48</v>
      </c>
      <c r="D363" s="9" t="s">
        <v>9</v>
      </c>
      <c r="E363" s="16">
        <v>1989958</v>
      </c>
      <c r="F363" s="9">
        <v>509</v>
      </c>
      <c r="G363" s="16">
        <v>1590779</v>
      </c>
      <c r="H363" s="17">
        <v>18</v>
      </c>
      <c r="I363" s="9">
        <v>60</v>
      </c>
      <c r="J363" s="9" t="s">
        <v>13</v>
      </c>
      <c r="K363" s="18">
        <v>0.28000000000000003</v>
      </c>
      <c r="L363" s="9" t="s">
        <v>19</v>
      </c>
      <c r="M363" s="9" t="s">
        <v>5</v>
      </c>
      <c r="N363" s="9">
        <v>0</v>
      </c>
      <c r="O363" s="9"/>
    </row>
    <row r="364" spans="1:15" x14ac:dyDescent="0.25">
      <c r="A364" s="10" t="s">
        <v>412</v>
      </c>
      <c r="B364" s="11">
        <v>45312</v>
      </c>
      <c r="C364" s="10">
        <v>27</v>
      </c>
      <c r="D364" s="10" t="s">
        <v>9</v>
      </c>
      <c r="E364" s="12">
        <v>310161</v>
      </c>
      <c r="F364" s="10">
        <v>817</v>
      </c>
      <c r="G364" s="12">
        <v>1745116</v>
      </c>
      <c r="H364" s="13">
        <v>15</v>
      </c>
      <c r="I364" s="10">
        <v>60</v>
      </c>
      <c r="J364" s="10" t="s">
        <v>14</v>
      </c>
      <c r="K364" s="14">
        <v>0.53</v>
      </c>
      <c r="L364" s="10" t="s">
        <v>18</v>
      </c>
      <c r="M364" s="10" t="s">
        <v>3</v>
      </c>
      <c r="N364" s="10">
        <v>1</v>
      </c>
      <c r="O364" s="10"/>
    </row>
    <row r="365" spans="1:15" x14ac:dyDescent="0.25">
      <c r="A365" s="9" t="s">
        <v>413</v>
      </c>
      <c r="B365" s="15">
        <v>45577</v>
      </c>
      <c r="C365" s="9">
        <v>30</v>
      </c>
      <c r="D365" s="9" t="s">
        <v>9</v>
      </c>
      <c r="E365" s="16">
        <v>554466</v>
      </c>
      <c r="F365" s="9">
        <v>504</v>
      </c>
      <c r="G365" s="16">
        <v>94002</v>
      </c>
      <c r="H365" s="17">
        <v>12</v>
      </c>
      <c r="I365" s="9">
        <v>36</v>
      </c>
      <c r="J365" s="9" t="s">
        <v>10</v>
      </c>
      <c r="K365" s="18">
        <v>0.56999999999999995</v>
      </c>
      <c r="L365" s="9" t="s">
        <v>22</v>
      </c>
      <c r="M365" s="9" t="s">
        <v>5</v>
      </c>
      <c r="N365" s="9">
        <v>0</v>
      </c>
      <c r="O365" s="9"/>
    </row>
    <row r="366" spans="1:15" x14ac:dyDescent="0.25">
      <c r="A366" s="10" t="s">
        <v>414</v>
      </c>
      <c r="B366" s="11">
        <v>45208</v>
      </c>
      <c r="C366" s="10">
        <v>57</v>
      </c>
      <c r="D366" s="10" t="s">
        <v>17</v>
      </c>
      <c r="E366" s="12">
        <v>1791046</v>
      </c>
      <c r="F366" s="10">
        <v>758</v>
      </c>
      <c r="G366" s="12">
        <v>346706</v>
      </c>
      <c r="H366" s="13">
        <v>9</v>
      </c>
      <c r="I366" s="10">
        <v>36</v>
      </c>
      <c r="J366" s="10" t="s">
        <v>14</v>
      </c>
      <c r="K366" s="14">
        <v>0.16</v>
      </c>
      <c r="L366" s="10" t="s">
        <v>18</v>
      </c>
      <c r="M366" s="10" t="s">
        <v>4</v>
      </c>
      <c r="N366" s="10">
        <v>1</v>
      </c>
      <c r="O366" s="10"/>
    </row>
    <row r="367" spans="1:15" x14ac:dyDescent="0.25">
      <c r="A367" s="9" t="s">
        <v>415</v>
      </c>
      <c r="B367" s="15">
        <v>45458</v>
      </c>
      <c r="C367" s="9">
        <v>21</v>
      </c>
      <c r="D367" s="9" t="s">
        <v>9</v>
      </c>
      <c r="E367" s="16">
        <v>331520</v>
      </c>
      <c r="F367" s="9">
        <v>318</v>
      </c>
      <c r="G367" s="16">
        <v>1481954</v>
      </c>
      <c r="H367" s="17">
        <v>21</v>
      </c>
      <c r="I367" s="9">
        <v>60</v>
      </c>
      <c r="J367" s="9" t="s">
        <v>13</v>
      </c>
      <c r="K367" s="18">
        <v>0.3</v>
      </c>
      <c r="L367" s="9" t="s">
        <v>22</v>
      </c>
      <c r="M367" s="9" t="s">
        <v>2</v>
      </c>
      <c r="N367" s="9">
        <v>0</v>
      </c>
      <c r="O367" s="9"/>
    </row>
    <row r="368" spans="1:15" x14ac:dyDescent="0.25">
      <c r="A368" s="10" t="s">
        <v>416</v>
      </c>
      <c r="B368" s="11">
        <v>45428</v>
      </c>
      <c r="C368" s="10">
        <v>54</v>
      </c>
      <c r="D368" s="10" t="s">
        <v>9</v>
      </c>
      <c r="E368" s="12">
        <v>998873</v>
      </c>
      <c r="F368" s="10">
        <v>308</v>
      </c>
      <c r="G368" s="12">
        <v>620120</v>
      </c>
      <c r="H368" s="13">
        <v>24</v>
      </c>
      <c r="I368" s="10">
        <v>60</v>
      </c>
      <c r="J368" s="10" t="s">
        <v>10</v>
      </c>
      <c r="K368" s="14">
        <v>0.4</v>
      </c>
      <c r="L368" s="10" t="s">
        <v>19</v>
      </c>
      <c r="M368" s="10" t="s">
        <v>2</v>
      </c>
      <c r="N368" s="10">
        <v>0</v>
      </c>
      <c r="O368" s="10"/>
    </row>
    <row r="369" spans="1:15" x14ac:dyDescent="0.25">
      <c r="A369" s="9" t="s">
        <v>417</v>
      </c>
      <c r="B369" s="15">
        <v>45074</v>
      </c>
      <c r="C369" s="9">
        <v>63</v>
      </c>
      <c r="D369" s="9" t="s">
        <v>16</v>
      </c>
      <c r="E369" s="16">
        <v>321467</v>
      </c>
      <c r="F369" s="9">
        <v>820</v>
      </c>
      <c r="G369" s="16">
        <v>1299176</v>
      </c>
      <c r="H369" s="17">
        <v>20</v>
      </c>
      <c r="I369" s="9">
        <v>60</v>
      </c>
      <c r="J369" s="9" t="s">
        <v>11</v>
      </c>
      <c r="K369" s="18">
        <v>0.33</v>
      </c>
      <c r="L369" s="9" t="s">
        <v>20</v>
      </c>
      <c r="M369" s="9" t="s">
        <v>3</v>
      </c>
      <c r="N369" s="9">
        <v>0</v>
      </c>
      <c r="O369" s="9"/>
    </row>
    <row r="370" spans="1:15" x14ac:dyDescent="0.25">
      <c r="A370" s="10" t="s">
        <v>418</v>
      </c>
      <c r="B370" s="11">
        <v>45750</v>
      </c>
      <c r="C370" s="10">
        <v>28</v>
      </c>
      <c r="D370" s="10" t="s">
        <v>17</v>
      </c>
      <c r="E370" s="12">
        <v>1263988</v>
      </c>
      <c r="F370" s="10">
        <v>385</v>
      </c>
      <c r="G370" s="12">
        <v>1471538</v>
      </c>
      <c r="H370" s="13">
        <v>15</v>
      </c>
      <c r="I370" s="10">
        <v>36</v>
      </c>
      <c r="J370" s="10" t="s">
        <v>9</v>
      </c>
      <c r="K370" s="14">
        <v>0.45</v>
      </c>
      <c r="L370" s="10" t="s">
        <v>18</v>
      </c>
      <c r="M370" s="10" t="s">
        <v>4</v>
      </c>
      <c r="N370" s="10">
        <v>0</v>
      </c>
      <c r="O370" s="10"/>
    </row>
    <row r="371" spans="1:15" x14ac:dyDescent="0.25">
      <c r="A371" s="9" t="s">
        <v>419</v>
      </c>
      <c r="B371" s="15">
        <v>45530</v>
      </c>
      <c r="C371" s="9">
        <v>56</v>
      </c>
      <c r="D371" s="9" t="s">
        <v>9</v>
      </c>
      <c r="E371" s="16">
        <v>2063877</v>
      </c>
      <c r="F371" s="9">
        <v>501</v>
      </c>
      <c r="G371" s="16">
        <v>900396</v>
      </c>
      <c r="H371" s="17">
        <v>16</v>
      </c>
      <c r="I371" s="9">
        <v>24</v>
      </c>
      <c r="J371" s="9" t="s">
        <v>14</v>
      </c>
      <c r="K371" s="18">
        <v>0.12</v>
      </c>
      <c r="L371" s="9" t="s">
        <v>22</v>
      </c>
      <c r="M371" s="9" t="s">
        <v>5</v>
      </c>
      <c r="N371" s="9">
        <v>0</v>
      </c>
      <c r="O371" s="9"/>
    </row>
    <row r="372" spans="1:15" x14ac:dyDescent="0.25">
      <c r="A372" s="10" t="s">
        <v>420</v>
      </c>
      <c r="B372" s="11">
        <v>45726</v>
      </c>
      <c r="C372" s="10">
        <v>49</v>
      </c>
      <c r="D372" s="10" t="s">
        <v>17</v>
      </c>
      <c r="E372" s="12">
        <v>1612703</v>
      </c>
      <c r="F372" s="10">
        <v>305</v>
      </c>
      <c r="G372" s="12">
        <v>840651</v>
      </c>
      <c r="H372" s="13">
        <v>22</v>
      </c>
      <c r="I372" s="10">
        <v>24</v>
      </c>
      <c r="J372" s="10" t="s">
        <v>13</v>
      </c>
      <c r="K372" s="14">
        <v>0.22</v>
      </c>
      <c r="L372" s="10" t="s">
        <v>21</v>
      </c>
      <c r="M372" s="10" t="s">
        <v>2</v>
      </c>
      <c r="N372" s="10">
        <v>0</v>
      </c>
      <c r="O372" s="10"/>
    </row>
    <row r="373" spans="1:15" x14ac:dyDescent="0.25">
      <c r="A373" s="9" t="s">
        <v>421</v>
      </c>
      <c r="B373" s="15">
        <v>45704</v>
      </c>
      <c r="C373" s="9">
        <v>38</v>
      </c>
      <c r="D373" s="9" t="s">
        <v>9</v>
      </c>
      <c r="E373" s="16">
        <v>429341</v>
      </c>
      <c r="F373" s="9">
        <v>439</v>
      </c>
      <c r="G373" s="16">
        <v>1479459</v>
      </c>
      <c r="H373" s="17">
        <v>6</v>
      </c>
      <c r="I373" s="9">
        <v>12</v>
      </c>
      <c r="J373" s="9" t="s">
        <v>13</v>
      </c>
      <c r="K373" s="18">
        <v>0.19</v>
      </c>
      <c r="L373" s="9" t="s">
        <v>18</v>
      </c>
      <c r="M373" s="9" t="s">
        <v>3</v>
      </c>
      <c r="N373" s="9">
        <v>0</v>
      </c>
      <c r="O373" s="9"/>
    </row>
    <row r="374" spans="1:15" x14ac:dyDescent="0.25">
      <c r="A374" s="10" t="s">
        <v>422</v>
      </c>
      <c r="B374" s="11">
        <v>44981</v>
      </c>
      <c r="C374" s="10">
        <v>55</v>
      </c>
      <c r="D374" s="10" t="s">
        <v>17</v>
      </c>
      <c r="E374" s="12">
        <v>1024082</v>
      </c>
      <c r="F374" s="10">
        <v>749</v>
      </c>
      <c r="G374" s="12">
        <v>750265</v>
      </c>
      <c r="H374" s="13">
        <v>13</v>
      </c>
      <c r="I374" s="10">
        <v>36</v>
      </c>
      <c r="J374" s="10" t="s">
        <v>11</v>
      </c>
      <c r="K374" s="14">
        <v>0.28999999999999998</v>
      </c>
      <c r="L374" s="10" t="s">
        <v>22</v>
      </c>
      <c r="M374" s="10" t="s">
        <v>4</v>
      </c>
      <c r="N374" s="10">
        <v>0</v>
      </c>
      <c r="O374" s="10"/>
    </row>
    <row r="375" spans="1:15" x14ac:dyDescent="0.25">
      <c r="A375" s="9" t="s">
        <v>423</v>
      </c>
      <c r="B375" s="15">
        <v>45416</v>
      </c>
      <c r="C375" s="9">
        <v>56</v>
      </c>
      <c r="D375" s="9" t="s">
        <v>9</v>
      </c>
      <c r="E375" s="16">
        <v>2029038</v>
      </c>
      <c r="F375" s="9">
        <v>676</v>
      </c>
      <c r="G375" s="16">
        <v>426635</v>
      </c>
      <c r="H375" s="17">
        <v>6</v>
      </c>
      <c r="I375" s="9">
        <v>60</v>
      </c>
      <c r="J375" s="9" t="s">
        <v>14</v>
      </c>
      <c r="K375" s="18">
        <v>0.23</v>
      </c>
      <c r="L375" s="9" t="s">
        <v>18</v>
      </c>
      <c r="M375" s="9" t="s">
        <v>5</v>
      </c>
      <c r="N375" s="9">
        <v>0</v>
      </c>
      <c r="O375" s="9"/>
    </row>
    <row r="376" spans="1:15" x14ac:dyDescent="0.25">
      <c r="A376" s="10" t="s">
        <v>424</v>
      </c>
      <c r="B376" s="11">
        <v>44970</v>
      </c>
      <c r="C376" s="10">
        <v>39</v>
      </c>
      <c r="D376" s="10" t="s">
        <v>16</v>
      </c>
      <c r="E376" s="12">
        <v>827424</v>
      </c>
      <c r="F376" s="10">
        <v>322</v>
      </c>
      <c r="G376" s="12">
        <v>98770</v>
      </c>
      <c r="H376" s="13">
        <v>14</v>
      </c>
      <c r="I376" s="10">
        <v>60</v>
      </c>
      <c r="J376" s="10" t="s">
        <v>10</v>
      </c>
      <c r="K376" s="14">
        <v>0.4</v>
      </c>
      <c r="L376" s="10" t="s">
        <v>22</v>
      </c>
      <c r="M376" s="10" t="s">
        <v>3</v>
      </c>
      <c r="N376" s="10">
        <v>0</v>
      </c>
      <c r="O376" s="10"/>
    </row>
    <row r="377" spans="1:15" x14ac:dyDescent="0.25">
      <c r="A377" s="9" t="s">
        <v>425</v>
      </c>
      <c r="B377" s="15">
        <v>45882</v>
      </c>
      <c r="C377" s="9">
        <v>37</v>
      </c>
      <c r="D377" s="9" t="s">
        <v>17</v>
      </c>
      <c r="E377" s="16">
        <v>635033</v>
      </c>
      <c r="F377" s="9">
        <v>575</v>
      </c>
      <c r="G377" s="16">
        <v>1687878</v>
      </c>
      <c r="H377" s="17">
        <v>7</v>
      </c>
      <c r="I377" s="9">
        <v>24</v>
      </c>
      <c r="J377" s="9" t="s">
        <v>12</v>
      </c>
      <c r="K377" s="18">
        <v>0.11</v>
      </c>
      <c r="L377" s="9" t="s">
        <v>18</v>
      </c>
      <c r="M377" s="9" t="s">
        <v>3</v>
      </c>
      <c r="N377" s="9">
        <v>1</v>
      </c>
      <c r="O377" s="9"/>
    </row>
    <row r="378" spans="1:15" x14ac:dyDescent="0.25">
      <c r="A378" s="10" t="s">
        <v>426</v>
      </c>
      <c r="B378" s="11">
        <v>45629</v>
      </c>
      <c r="C378" s="10">
        <v>44</v>
      </c>
      <c r="D378" s="10" t="s">
        <v>16</v>
      </c>
      <c r="E378" s="12">
        <v>863918</v>
      </c>
      <c r="F378" s="10">
        <v>367</v>
      </c>
      <c r="G378" s="12">
        <v>109071</v>
      </c>
      <c r="H378" s="13">
        <v>8</v>
      </c>
      <c r="I378" s="10">
        <v>12</v>
      </c>
      <c r="J378" s="10" t="s">
        <v>12</v>
      </c>
      <c r="K378" s="14">
        <v>0.26</v>
      </c>
      <c r="L378" s="10" t="s">
        <v>18</v>
      </c>
      <c r="M378" s="10" t="s">
        <v>2</v>
      </c>
      <c r="N378" s="10">
        <v>0</v>
      </c>
      <c r="O378" s="10"/>
    </row>
    <row r="379" spans="1:15" x14ac:dyDescent="0.25">
      <c r="A379" s="9" t="s">
        <v>427</v>
      </c>
      <c r="B379" s="15">
        <v>44948</v>
      </c>
      <c r="C379" s="9">
        <v>26</v>
      </c>
      <c r="D379" s="9" t="s">
        <v>17</v>
      </c>
      <c r="E379" s="16">
        <v>1989152</v>
      </c>
      <c r="F379" s="9">
        <v>379</v>
      </c>
      <c r="G379" s="16">
        <v>655637</v>
      </c>
      <c r="H379" s="17">
        <v>17</v>
      </c>
      <c r="I379" s="9">
        <v>12</v>
      </c>
      <c r="J379" s="9" t="s">
        <v>12</v>
      </c>
      <c r="K379" s="18">
        <v>0.15</v>
      </c>
      <c r="L379" s="9" t="s">
        <v>20</v>
      </c>
      <c r="M379" s="9" t="s">
        <v>4</v>
      </c>
      <c r="N379" s="9">
        <v>0</v>
      </c>
      <c r="O379" s="9"/>
    </row>
    <row r="380" spans="1:15" x14ac:dyDescent="0.25">
      <c r="A380" s="10" t="s">
        <v>428</v>
      </c>
      <c r="B380" s="11">
        <v>45588</v>
      </c>
      <c r="C380" s="10">
        <v>44</v>
      </c>
      <c r="D380" s="10" t="s">
        <v>16</v>
      </c>
      <c r="E380" s="12">
        <v>1144801</v>
      </c>
      <c r="F380" s="10">
        <v>541</v>
      </c>
      <c r="G380" s="12">
        <v>449802</v>
      </c>
      <c r="H380" s="13">
        <v>22</v>
      </c>
      <c r="I380" s="10">
        <v>12</v>
      </c>
      <c r="J380" s="10" t="s">
        <v>10</v>
      </c>
      <c r="K380" s="14">
        <v>0.4</v>
      </c>
      <c r="L380" s="10" t="s">
        <v>21</v>
      </c>
      <c r="M380" s="10" t="s">
        <v>2</v>
      </c>
      <c r="N380" s="10">
        <v>0</v>
      </c>
      <c r="O380" s="10"/>
    </row>
    <row r="381" spans="1:15" x14ac:dyDescent="0.25">
      <c r="A381" s="9" t="s">
        <v>429</v>
      </c>
      <c r="B381" s="15">
        <v>45352</v>
      </c>
      <c r="C381" s="9">
        <v>24</v>
      </c>
      <c r="D381" s="9" t="s">
        <v>9</v>
      </c>
      <c r="E381" s="16">
        <v>796800</v>
      </c>
      <c r="F381" s="9">
        <v>574</v>
      </c>
      <c r="G381" s="16">
        <v>1441520</v>
      </c>
      <c r="H381" s="17">
        <v>10</v>
      </c>
      <c r="I381" s="9">
        <v>36</v>
      </c>
      <c r="J381" s="9" t="s">
        <v>14</v>
      </c>
      <c r="K381" s="18">
        <v>0.59</v>
      </c>
      <c r="L381" s="9" t="s">
        <v>20</v>
      </c>
      <c r="M381" s="9" t="s">
        <v>3</v>
      </c>
      <c r="N381" s="9">
        <v>1</v>
      </c>
      <c r="O381" s="9"/>
    </row>
    <row r="382" spans="1:15" x14ac:dyDescent="0.25">
      <c r="A382" s="10" t="s">
        <v>430</v>
      </c>
      <c r="B382" s="11">
        <v>45957</v>
      </c>
      <c r="C382" s="10">
        <v>58</v>
      </c>
      <c r="D382" s="10" t="s">
        <v>9</v>
      </c>
      <c r="E382" s="12">
        <v>2245578</v>
      </c>
      <c r="F382" s="10">
        <v>644</v>
      </c>
      <c r="G382" s="12">
        <v>1816698</v>
      </c>
      <c r="H382" s="13">
        <v>23</v>
      </c>
      <c r="I382" s="10">
        <v>12</v>
      </c>
      <c r="J382" s="10" t="s">
        <v>13</v>
      </c>
      <c r="K382" s="14">
        <v>0.47</v>
      </c>
      <c r="L382" s="10" t="s">
        <v>21</v>
      </c>
      <c r="M382" s="10" t="s">
        <v>4</v>
      </c>
      <c r="N382" s="10">
        <v>0</v>
      </c>
      <c r="O382" s="10"/>
    </row>
    <row r="383" spans="1:15" x14ac:dyDescent="0.25">
      <c r="A383" s="9" t="s">
        <v>431</v>
      </c>
      <c r="B383" s="15">
        <v>45804</v>
      </c>
      <c r="C383" s="9">
        <v>46</v>
      </c>
      <c r="D383" s="9" t="s">
        <v>17</v>
      </c>
      <c r="E383" s="16">
        <v>396482</v>
      </c>
      <c r="F383" s="9">
        <v>640</v>
      </c>
      <c r="G383" s="16">
        <v>1998209</v>
      </c>
      <c r="H383" s="17">
        <v>18</v>
      </c>
      <c r="I383" s="9">
        <v>36</v>
      </c>
      <c r="J383" s="9" t="s">
        <v>9</v>
      </c>
      <c r="K383" s="18">
        <v>0.31</v>
      </c>
      <c r="L383" s="9" t="s">
        <v>18</v>
      </c>
      <c r="M383" s="9" t="s">
        <v>5</v>
      </c>
      <c r="N383" s="9">
        <v>0</v>
      </c>
      <c r="O383" s="9"/>
    </row>
    <row r="384" spans="1:15" x14ac:dyDescent="0.25">
      <c r="A384" s="10" t="s">
        <v>432</v>
      </c>
      <c r="B384" s="11">
        <v>45934</v>
      </c>
      <c r="C384" s="10">
        <v>51</v>
      </c>
      <c r="D384" s="10" t="s">
        <v>16</v>
      </c>
      <c r="E384" s="12">
        <v>2292705</v>
      </c>
      <c r="F384" s="10">
        <v>352</v>
      </c>
      <c r="G384" s="12">
        <v>931638</v>
      </c>
      <c r="H384" s="13">
        <v>9</v>
      </c>
      <c r="I384" s="10">
        <v>12</v>
      </c>
      <c r="J384" s="10" t="s">
        <v>10</v>
      </c>
      <c r="K384" s="14">
        <v>0.25</v>
      </c>
      <c r="L384" s="10" t="s">
        <v>18</v>
      </c>
      <c r="M384" s="10" t="s">
        <v>3</v>
      </c>
      <c r="N384" s="10">
        <v>0</v>
      </c>
      <c r="O384" s="10"/>
    </row>
    <row r="385" spans="1:15" x14ac:dyDescent="0.25">
      <c r="A385" s="9" t="s">
        <v>433</v>
      </c>
      <c r="B385" s="15">
        <v>45315</v>
      </c>
      <c r="C385" s="9">
        <v>53</v>
      </c>
      <c r="D385" s="9" t="s">
        <v>16</v>
      </c>
      <c r="E385" s="16">
        <v>1746191</v>
      </c>
      <c r="F385" s="9">
        <v>439</v>
      </c>
      <c r="G385" s="16">
        <v>350613</v>
      </c>
      <c r="H385" s="17">
        <v>22</v>
      </c>
      <c r="I385" s="9">
        <v>12</v>
      </c>
      <c r="J385" s="9" t="s">
        <v>14</v>
      </c>
      <c r="K385" s="18">
        <v>0.54</v>
      </c>
      <c r="L385" s="9" t="s">
        <v>21</v>
      </c>
      <c r="M385" s="9" t="s">
        <v>2</v>
      </c>
      <c r="N385" s="9">
        <v>1</v>
      </c>
      <c r="O385" s="9"/>
    </row>
    <row r="386" spans="1:15" x14ac:dyDescent="0.25">
      <c r="A386" s="10" t="s">
        <v>434</v>
      </c>
      <c r="B386" s="11">
        <v>44965</v>
      </c>
      <c r="C386" s="10">
        <v>56</v>
      </c>
      <c r="D386" s="10" t="s">
        <v>16</v>
      </c>
      <c r="E386" s="12">
        <v>1337853</v>
      </c>
      <c r="F386" s="10">
        <v>529</v>
      </c>
      <c r="G386" s="12">
        <v>1211263</v>
      </c>
      <c r="H386" s="13">
        <v>7</v>
      </c>
      <c r="I386" s="10">
        <v>12</v>
      </c>
      <c r="J386" s="10" t="s">
        <v>12</v>
      </c>
      <c r="K386" s="14">
        <v>0.5</v>
      </c>
      <c r="L386" s="10" t="s">
        <v>22</v>
      </c>
      <c r="M386" s="10" t="s">
        <v>5</v>
      </c>
      <c r="N386" s="10">
        <v>1</v>
      </c>
      <c r="O386" s="10"/>
    </row>
    <row r="387" spans="1:15" x14ac:dyDescent="0.25">
      <c r="A387" s="9" t="s">
        <v>435</v>
      </c>
      <c r="B387" s="15">
        <v>45050</v>
      </c>
      <c r="C387" s="9">
        <v>56</v>
      </c>
      <c r="D387" s="9" t="s">
        <v>17</v>
      </c>
      <c r="E387" s="16">
        <v>1213042</v>
      </c>
      <c r="F387" s="9">
        <v>751</v>
      </c>
      <c r="G387" s="16">
        <v>162992</v>
      </c>
      <c r="H387" s="17">
        <v>16</v>
      </c>
      <c r="I387" s="9">
        <v>36</v>
      </c>
      <c r="J387" s="9" t="s">
        <v>12</v>
      </c>
      <c r="K387" s="18">
        <v>0.48</v>
      </c>
      <c r="L387" s="9" t="s">
        <v>18</v>
      </c>
      <c r="M387" s="9" t="s">
        <v>3</v>
      </c>
      <c r="N387" s="9">
        <v>1</v>
      </c>
      <c r="O387" s="9"/>
    </row>
    <row r="388" spans="1:15" x14ac:dyDescent="0.25">
      <c r="A388" s="10" t="s">
        <v>436</v>
      </c>
      <c r="B388" s="11">
        <v>45878</v>
      </c>
      <c r="C388" s="10">
        <v>31</v>
      </c>
      <c r="D388" s="10" t="s">
        <v>17</v>
      </c>
      <c r="E388" s="12">
        <v>2306314</v>
      </c>
      <c r="F388" s="10">
        <v>757</v>
      </c>
      <c r="G388" s="12">
        <v>435739</v>
      </c>
      <c r="H388" s="13">
        <v>6</v>
      </c>
      <c r="I388" s="10">
        <v>24</v>
      </c>
      <c r="J388" s="10" t="s">
        <v>14</v>
      </c>
      <c r="K388" s="14">
        <v>0.36</v>
      </c>
      <c r="L388" s="10" t="s">
        <v>20</v>
      </c>
      <c r="M388" s="10" t="s">
        <v>3</v>
      </c>
      <c r="N388" s="10">
        <v>1</v>
      </c>
      <c r="O388" s="10"/>
    </row>
    <row r="389" spans="1:15" x14ac:dyDescent="0.25">
      <c r="A389" s="9" t="s">
        <v>437</v>
      </c>
      <c r="B389" s="15">
        <v>45682</v>
      </c>
      <c r="C389" s="9">
        <v>44</v>
      </c>
      <c r="D389" s="9" t="s">
        <v>16</v>
      </c>
      <c r="E389" s="16">
        <v>1477864</v>
      </c>
      <c r="F389" s="9">
        <v>694</v>
      </c>
      <c r="G389" s="16">
        <v>1356465</v>
      </c>
      <c r="H389" s="17">
        <v>12</v>
      </c>
      <c r="I389" s="9">
        <v>60</v>
      </c>
      <c r="J389" s="9" t="s">
        <v>9</v>
      </c>
      <c r="K389" s="18">
        <v>0.34</v>
      </c>
      <c r="L389" s="9" t="s">
        <v>21</v>
      </c>
      <c r="M389" s="9" t="s">
        <v>3</v>
      </c>
      <c r="N389" s="9">
        <v>0</v>
      </c>
      <c r="O389" s="9"/>
    </row>
    <row r="390" spans="1:15" x14ac:dyDescent="0.25">
      <c r="A390" s="10" t="s">
        <v>438</v>
      </c>
      <c r="B390" s="11">
        <v>45319</v>
      </c>
      <c r="C390" s="10">
        <v>25</v>
      </c>
      <c r="D390" s="10" t="s">
        <v>17</v>
      </c>
      <c r="E390" s="12">
        <v>848677</v>
      </c>
      <c r="F390" s="10">
        <v>462</v>
      </c>
      <c r="G390" s="12">
        <v>910402</v>
      </c>
      <c r="H390" s="13">
        <v>13</v>
      </c>
      <c r="I390" s="10">
        <v>60</v>
      </c>
      <c r="J390" s="10" t="s">
        <v>10</v>
      </c>
      <c r="K390" s="14">
        <v>0.51</v>
      </c>
      <c r="L390" s="10" t="s">
        <v>19</v>
      </c>
      <c r="M390" s="10" t="s">
        <v>2</v>
      </c>
      <c r="N390" s="10">
        <v>0</v>
      </c>
      <c r="O390" s="10"/>
    </row>
    <row r="391" spans="1:15" x14ac:dyDescent="0.25">
      <c r="A391" s="9" t="s">
        <v>439</v>
      </c>
      <c r="B391" s="15">
        <v>45246</v>
      </c>
      <c r="C391" s="9">
        <v>54</v>
      </c>
      <c r="D391" s="9" t="s">
        <v>9</v>
      </c>
      <c r="E391" s="16">
        <v>693322</v>
      </c>
      <c r="F391" s="9">
        <v>649</v>
      </c>
      <c r="G391" s="16">
        <v>261070</v>
      </c>
      <c r="H391" s="17">
        <v>15</v>
      </c>
      <c r="I391" s="9">
        <v>36</v>
      </c>
      <c r="J391" s="9" t="s">
        <v>14</v>
      </c>
      <c r="K391" s="18">
        <v>0.13</v>
      </c>
      <c r="L391" s="9" t="s">
        <v>19</v>
      </c>
      <c r="M391" s="9" t="s">
        <v>4</v>
      </c>
      <c r="N391" s="9">
        <v>1</v>
      </c>
      <c r="O391" s="9"/>
    </row>
    <row r="392" spans="1:15" x14ac:dyDescent="0.25">
      <c r="A392" s="10" t="s">
        <v>440</v>
      </c>
      <c r="B392" s="11">
        <v>45195</v>
      </c>
      <c r="C392" s="10">
        <v>27</v>
      </c>
      <c r="D392" s="10" t="s">
        <v>9</v>
      </c>
      <c r="E392" s="12">
        <v>2089625</v>
      </c>
      <c r="F392" s="10">
        <v>703</v>
      </c>
      <c r="G392" s="12">
        <v>941940</v>
      </c>
      <c r="H392" s="13">
        <v>16</v>
      </c>
      <c r="I392" s="10">
        <v>36</v>
      </c>
      <c r="J392" s="10" t="s">
        <v>9</v>
      </c>
      <c r="K392" s="14">
        <v>0.26</v>
      </c>
      <c r="L392" s="10" t="s">
        <v>19</v>
      </c>
      <c r="M392" s="10" t="s">
        <v>2</v>
      </c>
      <c r="N392" s="10">
        <v>0</v>
      </c>
      <c r="O392" s="10"/>
    </row>
    <row r="393" spans="1:15" x14ac:dyDescent="0.25">
      <c r="A393" s="9" t="s">
        <v>441</v>
      </c>
      <c r="B393" s="15">
        <v>45561</v>
      </c>
      <c r="C393" s="9">
        <v>39</v>
      </c>
      <c r="D393" s="9" t="s">
        <v>16</v>
      </c>
      <c r="E393" s="16">
        <v>1065654</v>
      </c>
      <c r="F393" s="9">
        <v>385</v>
      </c>
      <c r="G393" s="16">
        <v>1059900</v>
      </c>
      <c r="H393" s="17">
        <v>11</v>
      </c>
      <c r="I393" s="9">
        <v>12</v>
      </c>
      <c r="J393" s="9" t="s">
        <v>10</v>
      </c>
      <c r="K393" s="18">
        <v>0.41</v>
      </c>
      <c r="L393" s="9" t="s">
        <v>18</v>
      </c>
      <c r="M393" s="9" t="s">
        <v>2</v>
      </c>
      <c r="N393" s="9">
        <v>0</v>
      </c>
      <c r="O393" s="9"/>
    </row>
    <row r="394" spans="1:15" x14ac:dyDescent="0.25">
      <c r="A394" s="10" t="s">
        <v>442</v>
      </c>
      <c r="B394" s="11">
        <v>45526</v>
      </c>
      <c r="C394" s="10">
        <v>63</v>
      </c>
      <c r="D394" s="10" t="s">
        <v>9</v>
      </c>
      <c r="E394" s="12">
        <v>1625416</v>
      </c>
      <c r="F394" s="10">
        <v>366</v>
      </c>
      <c r="G394" s="12">
        <v>1999110</v>
      </c>
      <c r="H394" s="13">
        <v>20</v>
      </c>
      <c r="I394" s="10">
        <v>24</v>
      </c>
      <c r="J394" s="10" t="s">
        <v>11</v>
      </c>
      <c r="K394" s="14">
        <v>0.54</v>
      </c>
      <c r="L394" s="10" t="s">
        <v>22</v>
      </c>
      <c r="M394" s="10" t="s">
        <v>2</v>
      </c>
      <c r="N394" s="10">
        <v>1</v>
      </c>
      <c r="O394" s="10"/>
    </row>
    <row r="395" spans="1:15" x14ac:dyDescent="0.25">
      <c r="A395" s="9" t="s">
        <v>443</v>
      </c>
      <c r="B395" s="15">
        <v>45463</v>
      </c>
      <c r="C395" s="9">
        <v>27</v>
      </c>
      <c r="D395" s="9" t="s">
        <v>9</v>
      </c>
      <c r="E395" s="16">
        <v>2370102</v>
      </c>
      <c r="F395" s="9">
        <v>459</v>
      </c>
      <c r="G395" s="16">
        <v>1349309</v>
      </c>
      <c r="H395" s="17">
        <v>16</v>
      </c>
      <c r="I395" s="9">
        <v>60</v>
      </c>
      <c r="J395" s="9" t="s">
        <v>10</v>
      </c>
      <c r="K395" s="18">
        <v>0.53</v>
      </c>
      <c r="L395" s="9" t="s">
        <v>19</v>
      </c>
      <c r="M395" s="9" t="s">
        <v>3</v>
      </c>
      <c r="N395" s="9">
        <v>1</v>
      </c>
      <c r="O395" s="9"/>
    </row>
    <row r="396" spans="1:15" x14ac:dyDescent="0.25">
      <c r="A396" s="10" t="s">
        <v>444</v>
      </c>
      <c r="B396" s="11">
        <v>45592</v>
      </c>
      <c r="C396" s="10">
        <v>21</v>
      </c>
      <c r="D396" s="10" t="s">
        <v>16</v>
      </c>
      <c r="E396" s="12">
        <v>342237</v>
      </c>
      <c r="F396" s="10">
        <v>645</v>
      </c>
      <c r="G396" s="12">
        <v>1405508</v>
      </c>
      <c r="H396" s="13">
        <v>24</v>
      </c>
      <c r="I396" s="10">
        <v>60</v>
      </c>
      <c r="J396" s="10" t="s">
        <v>11</v>
      </c>
      <c r="K396" s="14">
        <v>0.3</v>
      </c>
      <c r="L396" s="10" t="s">
        <v>18</v>
      </c>
      <c r="M396" s="10" t="s">
        <v>5</v>
      </c>
      <c r="N396" s="10">
        <v>0</v>
      </c>
      <c r="O396" s="10"/>
    </row>
    <row r="397" spans="1:15" x14ac:dyDescent="0.25">
      <c r="A397" s="9" t="s">
        <v>445</v>
      </c>
      <c r="B397" s="15">
        <v>45589</v>
      </c>
      <c r="C397" s="9">
        <v>61</v>
      </c>
      <c r="D397" s="9" t="s">
        <v>9</v>
      </c>
      <c r="E397" s="16">
        <v>1276714</v>
      </c>
      <c r="F397" s="9">
        <v>609</v>
      </c>
      <c r="G397" s="16">
        <v>1190188</v>
      </c>
      <c r="H397" s="17">
        <v>13</v>
      </c>
      <c r="I397" s="9">
        <v>12</v>
      </c>
      <c r="J397" s="9" t="s">
        <v>14</v>
      </c>
      <c r="K397" s="18">
        <v>0.52</v>
      </c>
      <c r="L397" s="9" t="s">
        <v>21</v>
      </c>
      <c r="M397" s="9" t="s">
        <v>5</v>
      </c>
      <c r="N397" s="9">
        <v>0</v>
      </c>
      <c r="O397" s="9"/>
    </row>
    <row r="398" spans="1:15" x14ac:dyDescent="0.25">
      <c r="A398" s="10" t="s">
        <v>446</v>
      </c>
      <c r="B398" s="11">
        <v>45936</v>
      </c>
      <c r="C398" s="10">
        <v>44</v>
      </c>
      <c r="D398" s="10" t="s">
        <v>16</v>
      </c>
      <c r="E398" s="12">
        <v>870710</v>
      </c>
      <c r="F398" s="10">
        <v>731</v>
      </c>
      <c r="G398" s="12">
        <v>81954</v>
      </c>
      <c r="H398" s="13">
        <v>20</v>
      </c>
      <c r="I398" s="10">
        <v>36</v>
      </c>
      <c r="J398" s="10" t="s">
        <v>9</v>
      </c>
      <c r="K398" s="14">
        <v>0.43</v>
      </c>
      <c r="L398" s="10" t="s">
        <v>22</v>
      </c>
      <c r="M398" s="10" t="s">
        <v>3</v>
      </c>
      <c r="N398" s="10">
        <v>0</v>
      </c>
      <c r="O398" s="10"/>
    </row>
    <row r="399" spans="1:15" x14ac:dyDescent="0.25">
      <c r="A399" s="9" t="s">
        <v>447</v>
      </c>
      <c r="B399" s="15">
        <v>45031</v>
      </c>
      <c r="C399" s="9">
        <v>52</v>
      </c>
      <c r="D399" s="9" t="s">
        <v>16</v>
      </c>
      <c r="E399" s="16">
        <v>1885521</v>
      </c>
      <c r="F399" s="9">
        <v>692</v>
      </c>
      <c r="G399" s="16">
        <v>1532786</v>
      </c>
      <c r="H399" s="17">
        <v>17</v>
      </c>
      <c r="I399" s="9">
        <v>12</v>
      </c>
      <c r="J399" s="9" t="s">
        <v>12</v>
      </c>
      <c r="K399" s="18">
        <v>0.52</v>
      </c>
      <c r="L399" s="9" t="s">
        <v>21</v>
      </c>
      <c r="M399" s="9" t="s">
        <v>4</v>
      </c>
      <c r="N399" s="9">
        <v>0</v>
      </c>
      <c r="O399" s="9"/>
    </row>
    <row r="400" spans="1:15" x14ac:dyDescent="0.25">
      <c r="A400" s="10" t="s">
        <v>448</v>
      </c>
      <c r="B400" s="11">
        <v>45717</v>
      </c>
      <c r="C400" s="10">
        <v>54</v>
      </c>
      <c r="D400" s="10" t="s">
        <v>16</v>
      </c>
      <c r="E400" s="12">
        <v>716521</v>
      </c>
      <c r="F400" s="10">
        <v>738</v>
      </c>
      <c r="G400" s="12">
        <v>880675</v>
      </c>
      <c r="H400" s="13">
        <v>21</v>
      </c>
      <c r="I400" s="10">
        <v>36</v>
      </c>
      <c r="J400" s="10" t="s">
        <v>12</v>
      </c>
      <c r="K400" s="14">
        <v>0.56999999999999995</v>
      </c>
      <c r="L400" s="10" t="s">
        <v>20</v>
      </c>
      <c r="M400" s="10" t="s">
        <v>2</v>
      </c>
      <c r="N400" s="10">
        <v>0</v>
      </c>
      <c r="O400" s="10"/>
    </row>
    <row r="401" spans="1:15" x14ac:dyDescent="0.25">
      <c r="A401" s="9" t="s">
        <v>449</v>
      </c>
      <c r="B401" s="15">
        <v>45221</v>
      </c>
      <c r="C401" s="9">
        <v>24</v>
      </c>
      <c r="D401" s="9" t="s">
        <v>9</v>
      </c>
      <c r="E401" s="16">
        <v>2294186</v>
      </c>
      <c r="F401" s="9">
        <v>455</v>
      </c>
      <c r="G401" s="16">
        <v>1914186</v>
      </c>
      <c r="H401" s="17">
        <v>8</v>
      </c>
      <c r="I401" s="9">
        <v>12</v>
      </c>
      <c r="J401" s="9" t="s">
        <v>9</v>
      </c>
      <c r="K401" s="18">
        <v>0.28999999999999998</v>
      </c>
      <c r="L401" s="9" t="s">
        <v>20</v>
      </c>
      <c r="M401" s="9" t="s">
        <v>3</v>
      </c>
      <c r="N401" s="9">
        <v>0</v>
      </c>
      <c r="O401" s="9"/>
    </row>
    <row r="402" spans="1:15" x14ac:dyDescent="0.25">
      <c r="A402" s="10" t="s">
        <v>450</v>
      </c>
      <c r="B402" s="11">
        <v>45843</v>
      </c>
      <c r="C402" s="10">
        <v>59</v>
      </c>
      <c r="D402" s="10" t="s">
        <v>16</v>
      </c>
      <c r="E402" s="12">
        <v>1499878</v>
      </c>
      <c r="F402" s="10">
        <v>548</v>
      </c>
      <c r="G402" s="12">
        <v>1919741</v>
      </c>
      <c r="H402" s="13">
        <v>14</v>
      </c>
      <c r="I402" s="10">
        <v>12</v>
      </c>
      <c r="J402" s="10" t="s">
        <v>14</v>
      </c>
      <c r="K402" s="14">
        <v>0.54</v>
      </c>
      <c r="L402" s="10" t="s">
        <v>18</v>
      </c>
      <c r="M402" s="10" t="s">
        <v>2</v>
      </c>
      <c r="N402" s="10">
        <v>1</v>
      </c>
      <c r="O402" s="10"/>
    </row>
    <row r="403" spans="1:15" x14ac:dyDescent="0.25">
      <c r="A403" s="9" t="s">
        <v>451</v>
      </c>
      <c r="B403" s="15">
        <v>45802</v>
      </c>
      <c r="C403" s="9">
        <v>36</v>
      </c>
      <c r="D403" s="9" t="s">
        <v>16</v>
      </c>
      <c r="E403" s="16">
        <v>718423</v>
      </c>
      <c r="F403" s="9">
        <v>639</v>
      </c>
      <c r="G403" s="16">
        <v>470122</v>
      </c>
      <c r="H403" s="17">
        <v>7</v>
      </c>
      <c r="I403" s="9">
        <v>36</v>
      </c>
      <c r="J403" s="9" t="s">
        <v>14</v>
      </c>
      <c r="K403" s="18">
        <v>0.59</v>
      </c>
      <c r="L403" s="9" t="s">
        <v>19</v>
      </c>
      <c r="M403" s="9" t="s">
        <v>2</v>
      </c>
      <c r="N403" s="9">
        <v>0</v>
      </c>
      <c r="O403" s="9"/>
    </row>
    <row r="404" spans="1:15" x14ac:dyDescent="0.25">
      <c r="A404" s="10" t="s">
        <v>452</v>
      </c>
      <c r="B404" s="11">
        <v>44992</v>
      </c>
      <c r="C404" s="10">
        <v>23</v>
      </c>
      <c r="D404" s="10" t="s">
        <v>17</v>
      </c>
      <c r="E404" s="12">
        <v>948918</v>
      </c>
      <c r="F404" s="10">
        <v>713</v>
      </c>
      <c r="G404" s="12">
        <v>200651</v>
      </c>
      <c r="H404" s="13">
        <v>15</v>
      </c>
      <c r="I404" s="10">
        <v>24</v>
      </c>
      <c r="J404" s="10" t="s">
        <v>9</v>
      </c>
      <c r="K404" s="14">
        <v>0.56000000000000005</v>
      </c>
      <c r="L404" s="10" t="s">
        <v>20</v>
      </c>
      <c r="M404" s="10" t="s">
        <v>4</v>
      </c>
      <c r="N404" s="10">
        <v>0</v>
      </c>
      <c r="O404" s="10"/>
    </row>
    <row r="405" spans="1:15" x14ac:dyDescent="0.25">
      <c r="A405" s="9" t="s">
        <v>453</v>
      </c>
      <c r="B405" s="15">
        <v>45750</v>
      </c>
      <c r="C405" s="9">
        <v>33</v>
      </c>
      <c r="D405" s="9" t="s">
        <v>16</v>
      </c>
      <c r="E405" s="16">
        <v>1078176</v>
      </c>
      <c r="F405" s="9">
        <v>523</v>
      </c>
      <c r="G405" s="16">
        <v>595789</v>
      </c>
      <c r="H405" s="17">
        <v>21</v>
      </c>
      <c r="I405" s="9">
        <v>24</v>
      </c>
      <c r="J405" s="9" t="s">
        <v>9</v>
      </c>
      <c r="K405" s="18">
        <v>0.28999999999999998</v>
      </c>
      <c r="L405" s="9" t="s">
        <v>18</v>
      </c>
      <c r="M405" s="9" t="s">
        <v>3</v>
      </c>
      <c r="N405" s="9">
        <v>1</v>
      </c>
      <c r="O405" s="9"/>
    </row>
    <row r="406" spans="1:15" x14ac:dyDescent="0.25">
      <c r="A406" s="10" t="s">
        <v>454</v>
      </c>
      <c r="B406" s="11">
        <v>45295</v>
      </c>
      <c r="C406" s="10">
        <v>61</v>
      </c>
      <c r="D406" s="10" t="s">
        <v>17</v>
      </c>
      <c r="E406" s="12">
        <v>2062568</v>
      </c>
      <c r="F406" s="10">
        <v>539</v>
      </c>
      <c r="G406" s="12">
        <v>842460</v>
      </c>
      <c r="H406" s="13">
        <v>6</v>
      </c>
      <c r="I406" s="10">
        <v>60</v>
      </c>
      <c r="J406" s="10" t="s">
        <v>12</v>
      </c>
      <c r="K406" s="14">
        <v>0.13</v>
      </c>
      <c r="L406" s="10" t="s">
        <v>18</v>
      </c>
      <c r="M406" s="10" t="s">
        <v>2</v>
      </c>
      <c r="N406" s="10">
        <v>0</v>
      </c>
      <c r="O406" s="10"/>
    </row>
    <row r="407" spans="1:15" x14ac:dyDescent="0.25">
      <c r="A407" s="9" t="s">
        <v>455</v>
      </c>
      <c r="B407" s="15">
        <v>45207</v>
      </c>
      <c r="C407" s="9">
        <v>34</v>
      </c>
      <c r="D407" s="9" t="s">
        <v>16</v>
      </c>
      <c r="E407" s="16">
        <v>1122668</v>
      </c>
      <c r="F407" s="9">
        <v>378</v>
      </c>
      <c r="G407" s="16">
        <v>673625</v>
      </c>
      <c r="H407" s="17">
        <v>23</v>
      </c>
      <c r="I407" s="9">
        <v>24</v>
      </c>
      <c r="J407" s="9" t="s">
        <v>14</v>
      </c>
      <c r="K407" s="18">
        <v>0.26</v>
      </c>
      <c r="L407" s="9" t="s">
        <v>22</v>
      </c>
      <c r="M407" s="9" t="s">
        <v>5</v>
      </c>
      <c r="N407" s="9">
        <v>0</v>
      </c>
      <c r="O407" s="9"/>
    </row>
    <row r="408" spans="1:15" x14ac:dyDescent="0.25">
      <c r="A408" s="10" t="s">
        <v>456</v>
      </c>
      <c r="B408" s="11">
        <v>45623</v>
      </c>
      <c r="C408" s="10">
        <v>30</v>
      </c>
      <c r="D408" s="10" t="s">
        <v>17</v>
      </c>
      <c r="E408" s="12">
        <v>699329</v>
      </c>
      <c r="F408" s="10">
        <v>426</v>
      </c>
      <c r="G408" s="12">
        <v>989047</v>
      </c>
      <c r="H408" s="13">
        <v>24</v>
      </c>
      <c r="I408" s="10">
        <v>60</v>
      </c>
      <c r="J408" s="10" t="s">
        <v>10</v>
      </c>
      <c r="K408" s="14">
        <v>0.44</v>
      </c>
      <c r="L408" s="10" t="s">
        <v>18</v>
      </c>
      <c r="M408" s="10" t="s">
        <v>4</v>
      </c>
      <c r="N408" s="10">
        <v>0</v>
      </c>
      <c r="O408" s="10"/>
    </row>
    <row r="409" spans="1:15" x14ac:dyDescent="0.25">
      <c r="A409" s="9" t="s">
        <v>457</v>
      </c>
      <c r="B409" s="15">
        <v>44973</v>
      </c>
      <c r="C409" s="9">
        <v>31</v>
      </c>
      <c r="D409" s="9" t="s">
        <v>17</v>
      </c>
      <c r="E409" s="16">
        <v>1651313</v>
      </c>
      <c r="F409" s="9">
        <v>614</v>
      </c>
      <c r="G409" s="16">
        <v>1624206</v>
      </c>
      <c r="H409" s="17">
        <v>16</v>
      </c>
      <c r="I409" s="9">
        <v>36</v>
      </c>
      <c r="J409" s="9" t="s">
        <v>9</v>
      </c>
      <c r="K409" s="18">
        <v>0.14000000000000001</v>
      </c>
      <c r="L409" s="9" t="s">
        <v>20</v>
      </c>
      <c r="M409" s="9" t="s">
        <v>3</v>
      </c>
      <c r="N409" s="9">
        <v>0</v>
      </c>
      <c r="O409" s="9"/>
    </row>
    <row r="410" spans="1:15" x14ac:dyDescent="0.25">
      <c r="A410" s="10" t="s">
        <v>458</v>
      </c>
      <c r="B410" s="11">
        <v>45163</v>
      </c>
      <c r="C410" s="10">
        <v>30</v>
      </c>
      <c r="D410" s="10" t="s">
        <v>17</v>
      </c>
      <c r="E410" s="12">
        <v>787260</v>
      </c>
      <c r="F410" s="10">
        <v>539</v>
      </c>
      <c r="G410" s="12">
        <v>1757167</v>
      </c>
      <c r="H410" s="13">
        <v>14</v>
      </c>
      <c r="I410" s="10">
        <v>12</v>
      </c>
      <c r="J410" s="10" t="s">
        <v>14</v>
      </c>
      <c r="K410" s="14">
        <v>0.35</v>
      </c>
      <c r="L410" s="10" t="s">
        <v>18</v>
      </c>
      <c r="M410" s="10" t="s">
        <v>2</v>
      </c>
      <c r="N410" s="10">
        <v>1</v>
      </c>
      <c r="O410" s="10"/>
    </row>
    <row r="411" spans="1:15" x14ac:dyDescent="0.25">
      <c r="A411" s="9" t="s">
        <v>459</v>
      </c>
      <c r="B411" s="15">
        <v>44935</v>
      </c>
      <c r="C411" s="9">
        <v>26</v>
      </c>
      <c r="D411" s="9" t="s">
        <v>17</v>
      </c>
      <c r="E411" s="16">
        <v>1687247</v>
      </c>
      <c r="F411" s="9">
        <v>337</v>
      </c>
      <c r="G411" s="16">
        <v>909279</v>
      </c>
      <c r="H411" s="17">
        <v>16</v>
      </c>
      <c r="I411" s="9">
        <v>60</v>
      </c>
      <c r="J411" s="9" t="s">
        <v>9</v>
      </c>
      <c r="K411" s="18">
        <v>0.59</v>
      </c>
      <c r="L411" s="9" t="s">
        <v>19</v>
      </c>
      <c r="M411" s="9" t="s">
        <v>2</v>
      </c>
      <c r="N411" s="9">
        <v>0</v>
      </c>
      <c r="O411" s="9"/>
    </row>
    <row r="412" spans="1:15" x14ac:dyDescent="0.25">
      <c r="A412" s="10" t="s">
        <v>460</v>
      </c>
      <c r="B412" s="11">
        <v>44933</v>
      </c>
      <c r="C412" s="10">
        <v>37</v>
      </c>
      <c r="D412" s="10" t="s">
        <v>16</v>
      </c>
      <c r="E412" s="12">
        <v>1414587</v>
      </c>
      <c r="F412" s="10">
        <v>668</v>
      </c>
      <c r="G412" s="12">
        <v>503514</v>
      </c>
      <c r="H412" s="13">
        <v>14</v>
      </c>
      <c r="I412" s="10">
        <v>36</v>
      </c>
      <c r="J412" s="10" t="s">
        <v>12</v>
      </c>
      <c r="K412" s="14">
        <v>0.52</v>
      </c>
      <c r="L412" s="10" t="s">
        <v>18</v>
      </c>
      <c r="M412" s="10" t="s">
        <v>4</v>
      </c>
      <c r="N412" s="10">
        <v>0</v>
      </c>
      <c r="O412" s="10"/>
    </row>
    <row r="413" spans="1:15" x14ac:dyDescent="0.25">
      <c r="A413" s="9" t="s">
        <v>461</v>
      </c>
      <c r="B413" s="15">
        <v>45225</v>
      </c>
      <c r="C413" s="9">
        <v>51</v>
      </c>
      <c r="D413" s="9" t="s">
        <v>16</v>
      </c>
      <c r="E413" s="16">
        <v>363848</v>
      </c>
      <c r="F413" s="9">
        <v>528</v>
      </c>
      <c r="G413" s="16">
        <v>1057992</v>
      </c>
      <c r="H413" s="17">
        <v>13</v>
      </c>
      <c r="I413" s="9">
        <v>60</v>
      </c>
      <c r="J413" s="9" t="s">
        <v>9</v>
      </c>
      <c r="K413" s="18">
        <v>0.38</v>
      </c>
      <c r="L413" s="9" t="s">
        <v>20</v>
      </c>
      <c r="M413" s="9" t="s">
        <v>5</v>
      </c>
      <c r="N413" s="9">
        <v>1</v>
      </c>
      <c r="O413" s="9"/>
    </row>
    <row r="414" spans="1:15" x14ac:dyDescent="0.25">
      <c r="A414" s="10" t="s">
        <v>462</v>
      </c>
      <c r="B414" s="11">
        <v>45776</v>
      </c>
      <c r="C414" s="10">
        <v>42</v>
      </c>
      <c r="D414" s="10" t="s">
        <v>17</v>
      </c>
      <c r="E414" s="12">
        <v>1746560</v>
      </c>
      <c r="F414" s="10">
        <v>622</v>
      </c>
      <c r="G414" s="12">
        <v>907778</v>
      </c>
      <c r="H414" s="13">
        <v>21</v>
      </c>
      <c r="I414" s="10">
        <v>24</v>
      </c>
      <c r="J414" s="10" t="s">
        <v>9</v>
      </c>
      <c r="K414" s="14">
        <v>0.19</v>
      </c>
      <c r="L414" s="10" t="s">
        <v>18</v>
      </c>
      <c r="M414" s="10" t="s">
        <v>4</v>
      </c>
      <c r="N414" s="10">
        <v>0</v>
      </c>
      <c r="O414" s="10"/>
    </row>
    <row r="415" spans="1:15" x14ac:dyDescent="0.25">
      <c r="A415" s="9" t="s">
        <v>463</v>
      </c>
      <c r="B415" s="15">
        <v>45413</v>
      </c>
      <c r="C415" s="9">
        <v>55</v>
      </c>
      <c r="D415" s="9" t="s">
        <v>16</v>
      </c>
      <c r="E415" s="16">
        <v>273315</v>
      </c>
      <c r="F415" s="9">
        <v>615</v>
      </c>
      <c r="G415" s="16">
        <v>1122902</v>
      </c>
      <c r="H415" s="17">
        <v>13</v>
      </c>
      <c r="I415" s="9">
        <v>24</v>
      </c>
      <c r="J415" s="9" t="s">
        <v>13</v>
      </c>
      <c r="K415" s="18">
        <v>0.16</v>
      </c>
      <c r="L415" s="9" t="s">
        <v>21</v>
      </c>
      <c r="M415" s="9" t="s">
        <v>4</v>
      </c>
      <c r="N415" s="9">
        <v>0</v>
      </c>
      <c r="O415" s="9"/>
    </row>
    <row r="416" spans="1:15" x14ac:dyDescent="0.25">
      <c r="A416" s="10" t="s">
        <v>464</v>
      </c>
      <c r="B416" s="11">
        <v>45950</v>
      </c>
      <c r="C416" s="10">
        <v>56</v>
      </c>
      <c r="D416" s="10" t="s">
        <v>16</v>
      </c>
      <c r="E416" s="12">
        <v>1187389</v>
      </c>
      <c r="F416" s="10">
        <v>515</v>
      </c>
      <c r="G416" s="12">
        <v>200021</v>
      </c>
      <c r="H416" s="13">
        <v>21</v>
      </c>
      <c r="I416" s="10">
        <v>60</v>
      </c>
      <c r="J416" s="10" t="s">
        <v>14</v>
      </c>
      <c r="K416" s="14">
        <v>0.34</v>
      </c>
      <c r="L416" s="10" t="s">
        <v>19</v>
      </c>
      <c r="M416" s="10" t="s">
        <v>5</v>
      </c>
      <c r="N416" s="10">
        <v>0</v>
      </c>
      <c r="O416" s="10"/>
    </row>
    <row r="417" spans="1:15" x14ac:dyDescent="0.25">
      <c r="A417" s="9" t="s">
        <v>465</v>
      </c>
      <c r="B417" s="15">
        <v>45122</v>
      </c>
      <c r="C417" s="9">
        <v>21</v>
      </c>
      <c r="D417" s="9" t="s">
        <v>16</v>
      </c>
      <c r="E417" s="16">
        <v>1482261</v>
      </c>
      <c r="F417" s="9">
        <v>499</v>
      </c>
      <c r="G417" s="16">
        <v>477572</v>
      </c>
      <c r="H417" s="17">
        <v>12</v>
      </c>
      <c r="I417" s="9">
        <v>36</v>
      </c>
      <c r="J417" s="9" t="s">
        <v>9</v>
      </c>
      <c r="K417" s="18">
        <v>0.51</v>
      </c>
      <c r="L417" s="9" t="s">
        <v>22</v>
      </c>
      <c r="M417" s="9" t="s">
        <v>4</v>
      </c>
      <c r="N417" s="9">
        <v>1</v>
      </c>
      <c r="O417" s="9"/>
    </row>
    <row r="418" spans="1:15" x14ac:dyDescent="0.25">
      <c r="A418" s="10" t="s">
        <v>466</v>
      </c>
      <c r="B418" s="11">
        <v>45602</v>
      </c>
      <c r="C418" s="10">
        <v>60</v>
      </c>
      <c r="D418" s="10" t="s">
        <v>16</v>
      </c>
      <c r="E418" s="12">
        <v>2287632</v>
      </c>
      <c r="F418" s="10">
        <v>591</v>
      </c>
      <c r="G418" s="12">
        <v>1311255</v>
      </c>
      <c r="H418" s="13">
        <v>12</v>
      </c>
      <c r="I418" s="10">
        <v>24</v>
      </c>
      <c r="J418" s="10" t="s">
        <v>13</v>
      </c>
      <c r="K418" s="14">
        <v>0.34</v>
      </c>
      <c r="L418" s="10" t="s">
        <v>18</v>
      </c>
      <c r="M418" s="10" t="s">
        <v>4</v>
      </c>
      <c r="N418" s="10">
        <v>0</v>
      </c>
      <c r="O418" s="10"/>
    </row>
    <row r="419" spans="1:15" x14ac:dyDescent="0.25">
      <c r="A419" s="9" t="s">
        <v>467</v>
      </c>
      <c r="B419" s="15">
        <v>45489</v>
      </c>
      <c r="C419" s="9">
        <v>33</v>
      </c>
      <c r="D419" s="9" t="s">
        <v>16</v>
      </c>
      <c r="E419" s="16">
        <v>2119933</v>
      </c>
      <c r="F419" s="9">
        <v>515</v>
      </c>
      <c r="G419" s="16">
        <v>788110</v>
      </c>
      <c r="H419" s="17">
        <v>14</v>
      </c>
      <c r="I419" s="9">
        <v>60</v>
      </c>
      <c r="J419" s="9" t="s">
        <v>11</v>
      </c>
      <c r="K419" s="18">
        <v>0.36</v>
      </c>
      <c r="L419" s="9" t="s">
        <v>22</v>
      </c>
      <c r="M419" s="9" t="s">
        <v>3</v>
      </c>
      <c r="N419" s="9">
        <v>0</v>
      </c>
      <c r="O419" s="9"/>
    </row>
    <row r="420" spans="1:15" x14ac:dyDescent="0.25">
      <c r="A420" s="10" t="s">
        <v>468</v>
      </c>
      <c r="B420" s="11">
        <v>45449</v>
      </c>
      <c r="C420" s="10">
        <v>38</v>
      </c>
      <c r="D420" s="10" t="s">
        <v>16</v>
      </c>
      <c r="E420" s="12">
        <v>336081</v>
      </c>
      <c r="F420" s="10">
        <v>840</v>
      </c>
      <c r="G420" s="12">
        <v>951450</v>
      </c>
      <c r="H420" s="13">
        <v>13</v>
      </c>
      <c r="I420" s="10">
        <v>12</v>
      </c>
      <c r="J420" s="10" t="s">
        <v>11</v>
      </c>
      <c r="K420" s="14">
        <v>0.36</v>
      </c>
      <c r="L420" s="10" t="s">
        <v>20</v>
      </c>
      <c r="M420" s="10" t="s">
        <v>2</v>
      </c>
      <c r="N420" s="10">
        <v>0</v>
      </c>
      <c r="O420" s="10"/>
    </row>
    <row r="421" spans="1:15" x14ac:dyDescent="0.25">
      <c r="A421" s="9" t="s">
        <v>469</v>
      </c>
      <c r="B421" s="15">
        <v>45632</v>
      </c>
      <c r="C421" s="9">
        <v>47</v>
      </c>
      <c r="D421" s="9" t="s">
        <v>17</v>
      </c>
      <c r="E421" s="16">
        <v>1101165</v>
      </c>
      <c r="F421" s="9">
        <v>548</v>
      </c>
      <c r="G421" s="16">
        <v>252904</v>
      </c>
      <c r="H421" s="17">
        <v>6</v>
      </c>
      <c r="I421" s="9">
        <v>12</v>
      </c>
      <c r="J421" s="9" t="s">
        <v>13</v>
      </c>
      <c r="K421" s="18">
        <v>0.13</v>
      </c>
      <c r="L421" s="9" t="s">
        <v>18</v>
      </c>
      <c r="M421" s="9" t="s">
        <v>5</v>
      </c>
      <c r="N421" s="9">
        <v>0</v>
      </c>
      <c r="O421" s="9"/>
    </row>
    <row r="422" spans="1:15" x14ac:dyDescent="0.25">
      <c r="A422" s="10" t="s">
        <v>470</v>
      </c>
      <c r="B422" s="11">
        <v>45123</v>
      </c>
      <c r="C422" s="10">
        <v>31</v>
      </c>
      <c r="D422" s="10" t="s">
        <v>9</v>
      </c>
      <c r="E422" s="12">
        <v>1460217</v>
      </c>
      <c r="F422" s="10">
        <v>719</v>
      </c>
      <c r="G422" s="12">
        <v>1879791</v>
      </c>
      <c r="H422" s="13">
        <v>15</v>
      </c>
      <c r="I422" s="10">
        <v>60</v>
      </c>
      <c r="J422" s="10" t="s">
        <v>14</v>
      </c>
      <c r="K422" s="14">
        <v>0.16</v>
      </c>
      <c r="L422" s="10" t="s">
        <v>19</v>
      </c>
      <c r="M422" s="10" t="s">
        <v>3</v>
      </c>
      <c r="N422" s="10">
        <v>0</v>
      </c>
      <c r="O422" s="10"/>
    </row>
    <row r="423" spans="1:15" x14ac:dyDescent="0.25">
      <c r="A423" s="9" t="s">
        <v>471</v>
      </c>
      <c r="B423" s="15">
        <v>45872</v>
      </c>
      <c r="C423" s="9">
        <v>40</v>
      </c>
      <c r="D423" s="9" t="s">
        <v>9</v>
      </c>
      <c r="E423" s="16">
        <v>508385</v>
      </c>
      <c r="F423" s="9">
        <v>711</v>
      </c>
      <c r="G423" s="16">
        <v>445933</v>
      </c>
      <c r="H423" s="17">
        <v>19</v>
      </c>
      <c r="I423" s="9">
        <v>60</v>
      </c>
      <c r="J423" s="9" t="s">
        <v>9</v>
      </c>
      <c r="K423" s="18">
        <v>0.56000000000000005</v>
      </c>
      <c r="L423" s="9" t="s">
        <v>21</v>
      </c>
      <c r="M423" s="9" t="s">
        <v>4</v>
      </c>
      <c r="N423" s="9">
        <v>0</v>
      </c>
      <c r="O423" s="9"/>
    </row>
    <row r="424" spans="1:15" x14ac:dyDescent="0.25">
      <c r="A424" s="10" t="s">
        <v>472</v>
      </c>
      <c r="B424" s="11">
        <v>44962</v>
      </c>
      <c r="C424" s="10">
        <v>35</v>
      </c>
      <c r="D424" s="10" t="s">
        <v>17</v>
      </c>
      <c r="E424" s="12">
        <v>1102953</v>
      </c>
      <c r="F424" s="10">
        <v>429</v>
      </c>
      <c r="G424" s="12">
        <v>950821</v>
      </c>
      <c r="H424" s="13">
        <v>21</v>
      </c>
      <c r="I424" s="10">
        <v>24</v>
      </c>
      <c r="J424" s="10" t="s">
        <v>10</v>
      </c>
      <c r="K424" s="14">
        <v>0.36</v>
      </c>
      <c r="L424" s="10" t="s">
        <v>19</v>
      </c>
      <c r="M424" s="10" t="s">
        <v>3</v>
      </c>
      <c r="N424" s="10">
        <v>0</v>
      </c>
      <c r="O424" s="10"/>
    </row>
    <row r="425" spans="1:15" x14ac:dyDescent="0.25">
      <c r="A425" s="9" t="s">
        <v>473</v>
      </c>
      <c r="B425" s="15">
        <v>45485</v>
      </c>
      <c r="C425" s="9">
        <v>31</v>
      </c>
      <c r="D425" s="9" t="s">
        <v>16</v>
      </c>
      <c r="E425" s="16">
        <v>946956</v>
      </c>
      <c r="F425" s="9">
        <v>454</v>
      </c>
      <c r="G425" s="16">
        <v>336352</v>
      </c>
      <c r="H425" s="17">
        <v>12</v>
      </c>
      <c r="I425" s="9">
        <v>24</v>
      </c>
      <c r="J425" s="9" t="s">
        <v>9</v>
      </c>
      <c r="K425" s="18">
        <v>0.48</v>
      </c>
      <c r="L425" s="9" t="s">
        <v>19</v>
      </c>
      <c r="M425" s="9" t="s">
        <v>2</v>
      </c>
      <c r="N425" s="9">
        <v>0</v>
      </c>
      <c r="O425" s="9"/>
    </row>
    <row r="426" spans="1:15" x14ac:dyDescent="0.25">
      <c r="A426" s="10" t="s">
        <v>474</v>
      </c>
      <c r="B426" s="11">
        <v>45096</v>
      </c>
      <c r="C426" s="10">
        <v>31</v>
      </c>
      <c r="D426" s="10" t="s">
        <v>17</v>
      </c>
      <c r="E426" s="12">
        <v>944543</v>
      </c>
      <c r="F426" s="10">
        <v>373</v>
      </c>
      <c r="G426" s="12">
        <v>1334742</v>
      </c>
      <c r="H426" s="13">
        <v>19</v>
      </c>
      <c r="I426" s="10">
        <v>36</v>
      </c>
      <c r="J426" s="10" t="s">
        <v>12</v>
      </c>
      <c r="K426" s="14">
        <v>0.39</v>
      </c>
      <c r="L426" s="10" t="s">
        <v>20</v>
      </c>
      <c r="M426" s="10" t="s">
        <v>4</v>
      </c>
      <c r="N426" s="10">
        <v>1</v>
      </c>
      <c r="O426" s="10"/>
    </row>
    <row r="427" spans="1:15" x14ac:dyDescent="0.25">
      <c r="A427" s="9" t="s">
        <v>475</v>
      </c>
      <c r="B427" s="15">
        <v>45376</v>
      </c>
      <c r="C427" s="9">
        <v>41</v>
      </c>
      <c r="D427" s="9" t="s">
        <v>9</v>
      </c>
      <c r="E427" s="16">
        <v>1628963</v>
      </c>
      <c r="F427" s="9">
        <v>395</v>
      </c>
      <c r="G427" s="16">
        <v>1472196</v>
      </c>
      <c r="H427" s="17">
        <v>9</v>
      </c>
      <c r="I427" s="9">
        <v>24</v>
      </c>
      <c r="J427" s="9" t="s">
        <v>13</v>
      </c>
      <c r="K427" s="18">
        <v>0.2</v>
      </c>
      <c r="L427" s="9" t="s">
        <v>20</v>
      </c>
      <c r="M427" s="9" t="s">
        <v>2</v>
      </c>
      <c r="N427" s="9">
        <v>0</v>
      </c>
      <c r="O427" s="9"/>
    </row>
    <row r="428" spans="1:15" x14ac:dyDescent="0.25">
      <c r="A428" s="10" t="s">
        <v>476</v>
      </c>
      <c r="B428" s="11">
        <v>45260</v>
      </c>
      <c r="C428" s="10">
        <v>21</v>
      </c>
      <c r="D428" s="10" t="s">
        <v>9</v>
      </c>
      <c r="E428" s="12">
        <v>780587</v>
      </c>
      <c r="F428" s="10">
        <v>429</v>
      </c>
      <c r="G428" s="12">
        <v>446739</v>
      </c>
      <c r="H428" s="13">
        <v>21</v>
      </c>
      <c r="I428" s="10">
        <v>60</v>
      </c>
      <c r="J428" s="10" t="s">
        <v>12</v>
      </c>
      <c r="K428" s="14">
        <v>0.2</v>
      </c>
      <c r="L428" s="10" t="s">
        <v>19</v>
      </c>
      <c r="M428" s="10" t="s">
        <v>5</v>
      </c>
      <c r="N428" s="10">
        <v>0</v>
      </c>
      <c r="O428" s="10"/>
    </row>
    <row r="429" spans="1:15" x14ac:dyDescent="0.25">
      <c r="A429" s="9" t="s">
        <v>477</v>
      </c>
      <c r="B429" s="15">
        <v>45325</v>
      </c>
      <c r="C429" s="9">
        <v>25</v>
      </c>
      <c r="D429" s="9" t="s">
        <v>9</v>
      </c>
      <c r="E429" s="16">
        <v>260428</v>
      </c>
      <c r="F429" s="9">
        <v>817</v>
      </c>
      <c r="G429" s="16">
        <v>500110</v>
      </c>
      <c r="H429" s="17">
        <v>18</v>
      </c>
      <c r="I429" s="9">
        <v>12</v>
      </c>
      <c r="J429" s="9" t="s">
        <v>9</v>
      </c>
      <c r="K429" s="18">
        <v>0.48</v>
      </c>
      <c r="L429" s="9" t="s">
        <v>19</v>
      </c>
      <c r="M429" s="9" t="s">
        <v>5</v>
      </c>
      <c r="N429" s="9">
        <v>0</v>
      </c>
      <c r="O429" s="9"/>
    </row>
    <row r="430" spans="1:15" x14ac:dyDescent="0.25">
      <c r="A430" s="10" t="s">
        <v>478</v>
      </c>
      <c r="B430" s="11">
        <v>45588</v>
      </c>
      <c r="C430" s="10">
        <v>52</v>
      </c>
      <c r="D430" s="10" t="s">
        <v>17</v>
      </c>
      <c r="E430" s="12">
        <v>1202026</v>
      </c>
      <c r="F430" s="10">
        <v>425</v>
      </c>
      <c r="G430" s="12">
        <v>1456597</v>
      </c>
      <c r="H430" s="13">
        <v>7</v>
      </c>
      <c r="I430" s="10">
        <v>60</v>
      </c>
      <c r="J430" s="10" t="s">
        <v>11</v>
      </c>
      <c r="K430" s="14">
        <v>0.55000000000000004</v>
      </c>
      <c r="L430" s="10" t="s">
        <v>19</v>
      </c>
      <c r="M430" s="10" t="s">
        <v>4</v>
      </c>
      <c r="N430" s="10">
        <v>1</v>
      </c>
      <c r="O430" s="10"/>
    </row>
    <row r="431" spans="1:15" x14ac:dyDescent="0.25">
      <c r="A431" s="9" t="s">
        <v>479</v>
      </c>
      <c r="B431" s="15">
        <v>45744</v>
      </c>
      <c r="C431" s="9">
        <v>64</v>
      </c>
      <c r="D431" s="9" t="s">
        <v>9</v>
      </c>
      <c r="E431" s="16">
        <v>1669563</v>
      </c>
      <c r="F431" s="9">
        <v>333</v>
      </c>
      <c r="G431" s="16">
        <v>1282783</v>
      </c>
      <c r="H431" s="17">
        <v>20</v>
      </c>
      <c r="I431" s="9">
        <v>36</v>
      </c>
      <c r="J431" s="9" t="s">
        <v>9</v>
      </c>
      <c r="K431" s="18">
        <v>0.46</v>
      </c>
      <c r="L431" s="9" t="s">
        <v>22</v>
      </c>
      <c r="M431" s="9" t="s">
        <v>4</v>
      </c>
      <c r="N431" s="9">
        <v>1</v>
      </c>
      <c r="O431" s="9"/>
    </row>
    <row r="432" spans="1:15" x14ac:dyDescent="0.25">
      <c r="A432" s="10" t="s">
        <v>480</v>
      </c>
      <c r="B432" s="11">
        <v>45279</v>
      </c>
      <c r="C432" s="10">
        <v>37</v>
      </c>
      <c r="D432" s="10" t="s">
        <v>16</v>
      </c>
      <c r="E432" s="12">
        <v>2042833</v>
      </c>
      <c r="F432" s="10">
        <v>828</v>
      </c>
      <c r="G432" s="12">
        <v>380116</v>
      </c>
      <c r="H432" s="13">
        <v>12</v>
      </c>
      <c r="I432" s="10">
        <v>12</v>
      </c>
      <c r="J432" s="10" t="s">
        <v>13</v>
      </c>
      <c r="K432" s="14">
        <v>0.28999999999999998</v>
      </c>
      <c r="L432" s="10" t="s">
        <v>21</v>
      </c>
      <c r="M432" s="10" t="s">
        <v>2</v>
      </c>
      <c r="N432" s="10">
        <v>0</v>
      </c>
      <c r="O432" s="10"/>
    </row>
    <row r="433" spans="1:15" x14ac:dyDescent="0.25">
      <c r="A433" s="9" t="s">
        <v>481</v>
      </c>
      <c r="B433" s="15">
        <v>45115</v>
      </c>
      <c r="C433" s="9">
        <v>52</v>
      </c>
      <c r="D433" s="9" t="s">
        <v>17</v>
      </c>
      <c r="E433" s="16">
        <v>1543199</v>
      </c>
      <c r="F433" s="9">
        <v>679</v>
      </c>
      <c r="G433" s="16">
        <v>923069</v>
      </c>
      <c r="H433" s="17">
        <v>14</v>
      </c>
      <c r="I433" s="9">
        <v>24</v>
      </c>
      <c r="J433" s="9" t="s">
        <v>13</v>
      </c>
      <c r="K433" s="18">
        <v>0.5</v>
      </c>
      <c r="L433" s="9" t="s">
        <v>19</v>
      </c>
      <c r="M433" s="9" t="s">
        <v>5</v>
      </c>
      <c r="N433" s="9">
        <v>0</v>
      </c>
      <c r="O433" s="9"/>
    </row>
    <row r="434" spans="1:15" x14ac:dyDescent="0.25">
      <c r="A434" s="10" t="s">
        <v>482</v>
      </c>
      <c r="B434" s="11">
        <v>45184</v>
      </c>
      <c r="C434" s="10">
        <v>22</v>
      </c>
      <c r="D434" s="10" t="s">
        <v>16</v>
      </c>
      <c r="E434" s="12">
        <v>550850</v>
      </c>
      <c r="F434" s="10">
        <v>717</v>
      </c>
      <c r="G434" s="12">
        <v>847873</v>
      </c>
      <c r="H434" s="13">
        <v>14</v>
      </c>
      <c r="I434" s="10">
        <v>60</v>
      </c>
      <c r="J434" s="10" t="s">
        <v>14</v>
      </c>
      <c r="K434" s="14">
        <v>0.14000000000000001</v>
      </c>
      <c r="L434" s="10" t="s">
        <v>19</v>
      </c>
      <c r="M434" s="10" t="s">
        <v>3</v>
      </c>
      <c r="N434" s="10">
        <v>0</v>
      </c>
      <c r="O434" s="10"/>
    </row>
    <row r="435" spans="1:15" x14ac:dyDescent="0.25">
      <c r="A435" s="9" t="s">
        <v>483</v>
      </c>
      <c r="B435" s="15">
        <v>45118</v>
      </c>
      <c r="C435" s="9">
        <v>53</v>
      </c>
      <c r="D435" s="9" t="s">
        <v>16</v>
      </c>
      <c r="E435" s="16">
        <v>1931737</v>
      </c>
      <c r="F435" s="9">
        <v>535</v>
      </c>
      <c r="G435" s="16">
        <v>1073291</v>
      </c>
      <c r="H435" s="17">
        <v>13</v>
      </c>
      <c r="I435" s="9">
        <v>24</v>
      </c>
      <c r="J435" s="9" t="s">
        <v>13</v>
      </c>
      <c r="K435" s="18">
        <v>0.31</v>
      </c>
      <c r="L435" s="9" t="s">
        <v>20</v>
      </c>
      <c r="M435" s="9" t="s">
        <v>3</v>
      </c>
      <c r="N435" s="9">
        <v>0</v>
      </c>
      <c r="O435" s="9"/>
    </row>
    <row r="436" spans="1:15" x14ac:dyDescent="0.25">
      <c r="A436" s="10" t="s">
        <v>484</v>
      </c>
      <c r="B436" s="11">
        <v>45937</v>
      </c>
      <c r="C436" s="10">
        <v>44</v>
      </c>
      <c r="D436" s="10" t="s">
        <v>16</v>
      </c>
      <c r="E436" s="12">
        <v>1905001</v>
      </c>
      <c r="F436" s="10">
        <v>327</v>
      </c>
      <c r="G436" s="12">
        <v>74778</v>
      </c>
      <c r="H436" s="13">
        <v>7</v>
      </c>
      <c r="I436" s="10">
        <v>12</v>
      </c>
      <c r="J436" s="10" t="s">
        <v>12</v>
      </c>
      <c r="K436" s="14">
        <v>0.34</v>
      </c>
      <c r="L436" s="10" t="s">
        <v>20</v>
      </c>
      <c r="M436" s="10" t="s">
        <v>3</v>
      </c>
      <c r="N436" s="10">
        <v>0</v>
      </c>
      <c r="O436" s="10"/>
    </row>
    <row r="437" spans="1:15" x14ac:dyDescent="0.25">
      <c r="A437" s="9" t="s">
        <v>485</v>
      </c>
      <c r="B437" s="15">
        <v>45344</v>
      </c>
      <c r="C437" s="9">
        <v>27</v>
      </c>
      <c r="D437" s="9" t="s">
        <v>9</v>
      </c>
      <c r="E437" s="16">
        <v>1405661</v>
      </c>
      <c r="F437" s="9">
        <v>379</v>
      </c>
      <c r="G437" s="16">
        <v>787954</v>
      </c>
      <c r="H437" s="17">
        <v>9</v>
      </c>
      <c r="I437" s="9">
        <v>24</v>
      </c>
      <c r="J437" s="9" t="s">
        <v>14</v>
      </c>
      <c r="K437" s="18">
        <v>0.39</v>
      </c>
      <c r="L437" s="9" t="s">
        <v>20</v>
      </c>
      <c r="M437" s="9" t="s">
        <v>4</v>
      </c>
      <c r="N437" s="9">
        <v>0</v>
      </c>
      <c r="O437" s="9"/>
    </row>
    <row r="438" spans="1:15" x14ac:dyDescent="0.25">
      <c r="A438" s="10" t="s">
        <v>486</v>
      </c>
      <c r="B438" s="11">
        <v>45708</v>
      </c>
      <c r="C438" s="10">
        <v>38</v>
      </c>
      <c r="D438" s="10" t="s">
        <v>17</v>
      </c>
      <c r="E438" s="12">
        <v>2070721</v>
      </c>
      <c r="F438" s="10">
        <v>787</v>
      </c>
      <c r="G438" s="12">
        <v>1292460</v>
      </c>
      <c r="H438" s="13">
        <v>16</v>
      </c>
      <c r="I438" s="10">
        <v>12</v>
      </c>
      <c r="J438" s="10" t="s">
        <v>14</v>
      </c>
      <c r="K438" s="14">
        <v>0.34</v>
      </c>
      <c r="L438" s="10" t="s">
        <v>18</v>
      </c>
      <c r="M438" s="10" t="s">
        <v>3</v>
      </c>
      <c r="N438" s="10">
        <v>0</v>
      </c>
      <c r="O438" s="10"/>
    </row>
    <row r="439" spans="1:15" x14ac:dyDescent="0.25">
      <c r="A439" s="9" t="s">
        <v>487</v>
      </c>
      <c r="B439" s="15">
        <v>44942</v>
      </c>
      <c r="C439" s="9">
        <v>33</v>
      </c>
      <c r="D439" s="9" t="s">
        <v>17</v>
      </c>
      <c r="E439" s="16">
        <v>676214</v>
      </c>
      <c r="F439" s="9">
        <v>724</v>
      </c>
      <c r="G439" s="16">
        <v>262731</v>
      </c>
      <c r="H439" s="17">
        <v>17</v>
      </c>
      <c r="I439" s="9">
        <v>36</v>
      </c>
      <c r="J439" s="9" t="s">
        <v>13</v>
      </c>
      <c r="K439" s="18">
        <v>0.56000000000000005</v>
      </c>
      <c r="L439" s="9" t="s">
        <v>21</v>
      </c>
      <c r="M439" s="9" t="s">
        <v>5</v>
      </c>
      <c r="N439" s="9">
        <v>0</v>
      </c>
      <c r="O439" s="9"/>
    </row>
    <row r="440" spans="1:15" x14ac:dyDescent="0.25">
      <c r="A440" s="10" t="s">
        <v>488</v>
      </c>
      <c r="B440" s="11">
        <v>45423</v>
      </c>
      <c r="C440" s="10">
        <v>55</v>
      </c>
      <c r="D440" s="10" t="s">
        <v>17</v>
      </c>
      <c r="E440" s="12">
        <v>1968931</v>
      </c>
      <c r="F440" s="10">
        <v>633</v>
      </c>
      <c r="G440" s="12">
        <v>1451572</v>
      </c>
      <c r="H440" s="13">
        <v>19</v>
      </c>
      <c r="I440" s="10">
        <v>36</v>
      </c>
      <c r="J440" s="10" t="s">
        <v>10</v>
      </c>
      <c r="K440" s="14">
        <v>0.13</v>
      </c>
      <c r="L440" s="10" t="s">
        <v>18</v>
      </c>
      <c r="M440" s="10" t="s">
        <v>4</v>
      </c>
      <c r="N440" s="10">
        <v>0</v>
      </c>
      <c r="O440" s="10"/>
    </row>
    <row r="441" spans="1:15" x14ac:dyDescent="0.25">
      <c r="A441" s="9" t="s">
        <v>489</v>
      </c>
      <c r="B441" s="15">
        <v>45107</v>
      </c>
      <c r="C441" s="9">
        <v>26</v>
      </c>
      <c r="D441" s="9" t="s">
        <v>9</v>
      </c>
      <c r="E441" s="16">
        <v>2106820</v>
      </c>
      <c r="F441" s="9">
        <v>746</v>
      </c>
      <c r="G441" s="16">
        <v>490006</v>
      </c>
      <c r="H441" s="17">
        <v>21</v>
      </c>
      <c r="I441" s="9">
        <v>24</v>
      </c>
      <c r="J441" s="9" t="s">
        <v>10</v>
      </c>
      <c r="K441" s="18">
        <v>0.57999999999999996</v>
      </c>
      <c r="L441" s="9" t="s">
        <v>20</v>
      </c>
      <c r="M441" s="9" t="s">
        <v>2</v>
      </c>
      <c r="N441" s="9">
        <v>0</v>
      </c>
      <c r="O441" s="9"/>
    </row>
    <row r="442" spans="1:15" x14ac:dyDescent="0.25">
      <c r="A442" s="10" t="s">
        <v>490</v>
      </c>
      <c r="B442" s="11">
        <v>45049</v>
      </c>
      <c r="C442" s="10">
        <v>59</v>
      </c>
      <c r="D442" s="10" t="s">
        <v>9</v>
      </c>
      <c r="E442" s="12">
        <v>449433</v>
      </c>
      <c r="F442" s="10">
        <v>333</v>
      </c>
      <c r="G442" s="12">
        <v>205845</v>
      </c>
      <c r="H442" s="13">
        <v>11</v>
      </c>
      <c r="I442" s="10">
        <v>12</v>
      </c>
      <c r="J442" s="10" t="s">
        <v>11</v>
      </c>
      <c r="K442" s="14">
        <v>0.5</v>
      </c>
      <c r="L442" s="10" t="s">
        <v>22</v>
      </c>
      <c r="M442" s="10" t="s">
        <v>2</v>
      </c>
      <c r="N442" s="10">
        <v>1</v>
      </c>
      <c r="O442" s="10"/>
    </row>
    <row r="443" spans="1:15" x14ac:dyDescent="0.25">
      <c r="A443" s="9" t="s">
        <v>491</v>
      </c>
      <c r="B443" s="15">
        <v>45727</v>
      </c>
      <c r="C443" s="9">
        <v>34</v>
      </c>
      <c r="D443" s="9" t="s">
        <v>16</v>
      </c>
      <c r="E443" s="16">
        <v>348110</v>
      </c>
      <c r="F443" s="9">
        <v>400</v>
      </c>
      <c r="G443" s="16">
        <v>1972767</v>
      </c>
      <c r="H443" s="17">
        <v>11</v>
      </c>
      <c r="I443" s="9">
        <v>60</v>
      </c>
      <c r="J443" s="9" t="s">
        <v>10</v>
      </c>
      <c r="K443" s="18">
        <v>0.49</v>
      </c>
      <c r="L443" s="9" t="s">
        <v>19</v>
      </c>
      <c r="M443" s="9" t="s">
        <v>3</v>
      </c>
      <c r="N443" s="9">
        <v>1</v>
      </c>
      <c r="O443" s="9"/>
    </row>
    <row r="444" spans="1:15" x14ac:dyDescent="0.25">
      <c r="A444" s="10" t="s">
        <v>492</v>
      </c>
      <c r="B444" s="11">
        <v>45315</v>
      </c>
      <c r="C444" s="10">
        <v>29</v>
      </c>
      <c r="D444" s="10" t="s">
        <v>17</v>
      </c>
      <c r="E444" s="12">
        <v>1612002</v>
      </c>
      <c r="F444" s="10">
        <v>605</v>
      </c>
      <c r="G444" s="12">
        <v>1822989</v>
      </c>
      <c r="H444" s="13">
        <v>18</v>
      </c>
      <c r="I444" s="10">
        <v>36</v>
      </c>
      <c r="J444" s="10" t="s">
        <v>12</v>
      </c>
      <c r="K444" s="14">
        <v>0.35</v>
      </c>
      <c r="L444" s="10" t="s">
        <v>21</v>
      </c>
      <c r="M444" s="10" t="s">
        <v>5</v>
      </c>
      <c r="N444" s="10">
        <v>1</v>
      </c>
      <c r="O444" s="10"/>
    </row>
    <row r="445" spans="1:15" x14ac:dyDescent="0.25">
      <c r="A445" s="9" t="s">
        <v>493</v>
      </c>
      <c r="B445" s="15">
        <v>45891</v>
      </c>
      <c r="C445" s="9">
        <v>48</v>
      </c>
      <c r="D445" s="9" t="s">
        <v>17</v>
      </c>
      <c r="E445" s="16">
        <v>871341</v>
      </c>
      <c r="F445" s="9">
        <v>641</v>
      </c>
      <c r="G445" s="16">
        <v>484372</v>
      </c>
      <c r="H445" s="17">
        <v>24</v>
      </c>
      <c r="I445" s="9">
        <v>24</v>
      </c>
      <c r="J445" s="9" t="s">
        <v>10</v>
      </c>
      <c r="K445" s="18">
        <v>0.24</v>
      </c>
      <c r="L445" s="9" t="s">
        <v>18</v>
      </c>
      <c r="M445" s="9" t="s">
        <v>4</v>
      </c>
      <c r="N445" s="9">
        <v>0</v>
      </c>
      <c r="O445" s="9"/>
    </row>
    <row r="446" spans="1:15" x14ac:dyDescent="0.25">
      <c r="A446" s="10" t="s">
        <v>494</v>
      </c>
      <c r="B446" s="11">
        <v>45609</v>
      </c>
      <c r="C446" s="10">
        <v>24</v>
      </c>
      <c r="D446" s="10" t="s">
        <v>9</v>
      </c>
      <c r="E446" s="12">
        <v>1715005</v>
      </c>
      <c r="F446" s="10">
        <v>771</v>
      </c>
      <c r="G446" s="12">
        <v>792679</v>
      </c>
      <c r="H446" s="13">
        <v>9</v>
      </c>
      <c r="I446" s="10">
        <v>36</v>
      </c>
      <c r="J446" s="10" t="s">
        <v>11</v>
      </c>
      <c r="K446" s="14">
        <v>0.26</v>
      </c>
      <c r="L446" s="10" t="s">
        <v>21</v>
      </c>
      <c r="M446" s="10" t="s">
        <v>5</v>
      </c>
      <c r="N446" s="10">
        <v>0</v>
      </c>
      <c r="O446" s="10"/>
    </row>
    <row r="447" spans="1:15" x14ac:dyDescent="0.25">
      <c r="A447" s="9" t="s">
        <v>495</v>
      </c>
      <c r="B447" s="15">
        <v>45499</v>
      </c>
      <c r="C447" s="9">
        <v>55</v>
      </c>
      <c r="D447" s="9" t="s">
        <v>16</v>
      </c>
      <c r="E447" s="16">
        <v>2164660</v>
      </c>
      <c r="F447" s="9">
        <v>511</v>
      </c>
      <c r="G447" s="16">
        <v>1067777</v>
      </c>
      <c r="H447" s="17">
        <v>17</v>
      </c>
      <c r="I447" s="9">
        <v>12</v>
      </c>
      <c r="J447" s="9" t="s">
        <v>11</v>
      </c>
      <c r="K447" s="18">
        <v>0.48</v>
      </c>
      <c r="L447" s="9" t="s">
        <v>19</v>
      </c>
      <c r="M447" s="9" t="s">
        <v>3</v>
      </c>
      <c r="N447" s="9">
        <v>1</v>
      </c>
      <c r="O447" s="9"/>
    </row>
    <row r="448" spans="1:15" x14ac:dyDescent="0.25">
      <c r="A448" s="10" t="s">
        <v>496</v>
      </c>
      <c r="B448" s="11">
        <v>45370</v>
      </c>
      <c r="C448" s="10">
        <v>60</v>
      </c>
      <c r="D448" s="10" t="s">
        <v>17</v>
      </c>
      <c r="E448" s="12">
        <v>529856</v>
      </c>
      <c r="F448" s="10">
        <v>719</v>
      </c>
      <c r="G448" s="12">
        <v>157945</v>
      </c>
      <c r="H448" s="13">
        <v>16</v>
      </c>
      <c r="I448" s="10">
        <v>12</v>
      </c>
      <c r="J448" s="10" t="s">
        <v>13</v>
      </c>
      <c r="K448" s="14">
        <v>0.22</v>
      </c>
      <c r="L448" s="10" t="s">
        <v>21</v>
      </c>
      <c r="M448" s="10" t="s">
        <v>5</v>
      </c>
      <c r="N448" s="10">
        <v>0</v>
      </c>
      <c r="O448" s="10"/>
    </row>
    <row r="449" spans="1:15" x14ac:dyDescent="0.25">
      <c r="A449" s="9" t="s">
        <v>497</v>
      </c>
      <c r="B449" s="15">
        <v>45969</v>
      </c>
      <c r="C449" s="9">
        <v>23</v>
      </c>
      <c r="D449" s="9" t="s">
        <v>9</v>
      </c>
      <c r="E449" s="16">
        <v>1557122</v>
      </c>
      <c r="F449" s="9">
        <v>660</v>
      </c>
      <c r="G449" s="16">
        <v>1597669</v>
      </c>
      <c r="H449" s="17">
        <v>19</v>
      </c>
      <c r="I449" s="9">
        <v>36</v>
      </c>
      <c r="J449" s="9" t="s">
        <v>9</v>
      </c>
      <c r="K449" s="18">
        <v>0.56999999999999995</v>
      </c>
      <c r="L449" s="9" t="s">
        <v>19</v>
      </c>
      <c r="M449" s="9" t="s">
        <v>4</v>
      </c>
      <c r="N449" s="9">
        <v>1</v>
      </c>
      <c r="O449" s="9"/>
    </row>
    <row r="450" spans="1:15" x14ac:dyDescent="0.25">
      <c r="A450" s="10" t="s">
        <v>498</v>
      </c>
      <c r="B450" s="11">
        <v>45213</v>
      </c>
      <c r="C450" s="10">
        <v>60</v>
      </c>
      <c r="D450" s="10" t="s">
        <v>17</v>
      </c>
      <c r="E450" s="12">
        <v>352843</v>
      </c>
      <c r="F450" s="10">
        <v>545</v>
      </c>
      <c r="G450" s="12">
        <v>407941</v>
      </c>
      <c r="H450" s="13">
        <v>19</v>
      </c>
      <c r="I450" s="10">
        <v>12</v>
      </c>
      <c r="J450" s="10" t="s">
        <v>13</v>
      </c>
      <c r="K450" s="14">
        <v>0.6</v>
      </c>
      <c r="L450" s="10" t="s">
        <v>18</v>
      </c>
      <c r="M450" s="10" t="s">
        <v>3</v>
      </c>
      <c r="N450" s="10">
        <v>1</v>
      </c>
      <c r="O450" s="10"/>
    </row>
    <row r="451" spans="1:15" x14ac:dyDescent="0.25">
      <c r="A451" s="9" t="s">
        <v>499</v>
      </c>
      <c r="B451" s="15">
        <v>45955</v>
      </c>
      <c r="C451" s="9">
        <v>60</v>
      </c>
      <c r="D451" s="9" t="s">
        <v>17</v>
      </c>
      <c r="E451" s="16">
        <v>491715</v>
      </c>
      <c r="F451" s="9">
        <v>389</v>
      </c>
      <c r="G451" s="16">
        <v>1555411</v>
      </c>
      <c r="H451" s="17">
        <v>9</v>
      </c>
      <c r="I451" s="9">
        <v>36</v>
      </c>
      <c r="J451" s="9" t="s">
        <v>12</v>
      </c>
      <c r="K451" s="18">
        <v>0.38</v>
      </c>
      <c r="L451" s="9" t="s">
        <v>22</v>
      </c>
      <c r="M451" s="9" t="s">
        <v>4</v>
      </c>
      <c r="N451" s="9">
        <v>1</v>
      </c>
      <c r="O451" s="9"/>
    </row>
    <row r="452" spans="1:15" x14ac:dyDescent="0.25">
      <c r="A452" s="10" t="s">
        <v>500</v>
      </c>
      <c r="B452" s="11">
        <v>45618</v>
      </c>
      <c r="C452" s="10">
        <v>54</v>
      </c>
      <c r="D452" s="10" t="s">
        <v>16</v>
      </c>
      <c r="E452" s="12">
        <v>1463151</v>
      </c>
      <c r="F452" s="10">
        <v>729</v>
      </c>
      <c r="G452" s="12">
        <v>1452009</v>
      </c>
      <c r="H452" s="13">
        <v>8</v>
      </c>
      <c r="I452" s="10">
        <v>24</v>
      </c>
      <c r="J452" s="10" t="s">
        <v>12</v>
      </c>
      <c r="K452" s="14">
        <v>0.42</v>
      </c>
      <c r="L452" s="10" t="s">
        <v>21</v>
      </c>
      <c r="M452" s="10" t="s">
        <v>2</v>
      </c>
      <c r="N452" s="10">
        <v>0</v>
      </c>
      <c r="O452" s="10"/>
    </row>
    <row r="453" spans="1:15" x14ac:dyDescent="0.25">
      <c r="A453" s="9" t="s">
        <v>501</v>
      </c>
      <c r="B453" s="15">
        <v>45229</v>
      </c>
      <c r="C453" s="9">
        <v>32</v>
      </c>
      <c r="D453" s="9" t="s">
        <v>16</v>
      </c>
      <c r="E453" s="16">
        <v>1497999</v>
      </c>
      <c r="F453" s="9">
        <v>628</v>
      </c>
      <c r="G453" s="16">
        <v>604690</v>
      </c>
      <c r="H453" s="17">
        <v>8</v>
      </c>
      <c r="I453" s="9">
        <v>12</v>
      </c>
      <c r="J453" s="9" t="s">
        <v>12</v>
      </c>
      <c r="K453" s="18">
        <v>0.5</v>
      </c>
      <c r="L453" s="9" t="s">
        <v>21</v>
      </c>
      <c r="M453" s="9" t="s">
        <v>3</v>
      </c>
      <c r="N453" s="9">
        <v>0</v>
      </c>
      <c r="O453" s="9"/>
    </row>
    <row r="454" spans="1:15" x14ac:dyDescent="0.25">
      <c r="A454" s="10" t="s">
        <v>502</v>
      </c>
      <c r="B454" s="11">
        <v>45428</v>
      </c>
      <c r="C454" s="10">
        <v>31</v>
      </c>
      <c r="D454" s="10" t="s">
        <v>17</v>
      </c>
      <c r="E454" s="12">
        <v>2229388</v>
      </c>
      <c r="F454" s="10">
        <v>352</v>
      </c>
      <c r="G454" s="12">
        <v>1952293</v>
      </c>
      <c r="H454" s="13">
        <v>18</v>
      </c>
      <c r="I454" s="10">
        <v>24</v>
      </c>
      <c r="J454" s="10" t="s">
        <v>13</v>
      </c>
      <c r="K454" s="14">
        <v>0.47</v>
      </c>
      <c r="L454" s="10" t="s">
        <v>19</v>
      </c>
      <c r="M454" s="10" t="s">
        <v>2</v>
      </c>
      <c r="N454" s="10">
        <v>0</v>
      </c>
      <c r="O454" s="10"/>
    </row>
    <row r="455" spans="1:15" x14ac:dyDescent="0.25">
      <c r="A455" s="9" t="s">
        <v>503</v>
      </c>
      <c r="B455" s="15">
        <v>45464</v>
      </c>
      <c r="C455" s="9">
        <v>54</v>
      </c>
      <c r="D455" s="9" t="s">
        <v>16</v>
      </c>
      <c r="E455" s="16">
        <v>889113</v>
      </c>
      <c r="F455" s="9">
        <v>435</v>
      </c>
      <c r="G455" s="16">
        <v>214914</v>
      </c>
      <c r="H455" s="17">
        <v>16</v>
      </c>
      <c r="I455" s="9">
        <v>36</v>
      </c>
      <c r="J455" s="9" t="s">
        <v>10</v>
      </c>
      <c r="K455" s="18">
        <v>0.24</v>
      </c>
      <c r="L455" s="9" t="s">
        <v>21</v>
      </c>
      <c r="M455" s="9" t="s">
        <v>3</v>
      </c>
      <c r="N455" s="9">
        <v>0</v>
      </c>
      <c r="O455" s="9"/>
    </row>
    <row r="456" spans="1:15" x14ac:dyDescent="0.25">
      <c r="A456" s="10" t="s">
        <v>504</v>
      </c>
      <c r="B456" s="11">
        <v>45342</v>
      </c>
      <c r="C456" s="10">
        <v>31</v>
      </c>
      <c r="D456" s="10" t="s">
        <v>17</v>
      </c>
      <c r="E456" s="12">
        <v>1409051</v>
      </c>
      <c r="F456" s="10">
        <v>444</v>
      </c>
      <c r="G456" s="12">
        <v>1454486</v>
      </c>
      <c r="H456" s="13">
        <v>16</v>
      </c>
      <c r="I456" s="10">
        <v>36</v>
      </c>
      <c r="J456" s="10" t="s">
        <v>11</v>
      </c>
      <c r="K456" s="14">
        <v>0.51</v>
      </c>
      <c r="L456" s="10" t="s">
        <v>20</v>
      </c>
      <c r="M456" s="10" t="s">
        <v>5</v>
      </c>
      <c r="N456" s="10">
        <v>0</v>
      </c>
      <c r="O456" s="10"/>
    </row>
    <row r="457" spans="1:15" x14ac:dyDescent="0.25">
      <c r="A457" s="9" t="s">
        <v>505</v>
      </c>
      <c r="B457" s="15">
        <v>45752</v>
      </c>
      <c r="C457" s="9">
        <v>21</v>
      </c>
      <c r="D457" s="9" t="s">
        <v>17</v>
      </c>
      <c r="E457" s="16">
        <v>2190046</v>
      </c>
      <c r="F457" s="9">
        <v>591</v>
      </c>
      <c r="G457" s="16">
        <v>325586</v>
      </c>
      <c r="H457" s="17">
        <v>20</v>
      </c>
      <c r="I457" s="9">
        <v>12</v>
      </c>
      <c r="J457" s="9" t="s">
        <v>13</v>
      </c>
      <c r="K457" s="18">
        <v>0.38</v>
      </c>
      <c r="L457" s="9" t="s">
        <v>22</v>
      </c>
      <c r="M457" s="9" t="s">
        <v>2</v>
      </c>
      <c r="N457" s="9">
        <v>1</v>
      </c>
      <c r="O457" s="9"/>
    </row>
    <row r="458" spans="1:15" x14ac:dyDescent="0.25">
      <c r="A458" s="10" t="s">
        <v>506</v>
      </c>
      <c r="B458" s="11">
        <v>45188</v>
      </c>
      <c r="C458" s="10">
        <v>35</v>
      </c>
      <c r="D458" s="10" t="s">
        <v>17</v>
      </c>
      <c r="E458" s="12">
        <v>796049</v>
      </c>
      <c r="F458" s="10">
        <v>690</v>
      </c>
      <c r="G458" s="12">
        <v>863376</v>
      </c>
      <c r="H458" s="13">
        <v>10</v>
      </c>
      <c r="I458" s="10">
        <v>12</v>
      </c>
      <c r="J458" s="10" t="s">
        <v>10</v>
      </c>
      <c r="K458" s="14">
        <v>0.18</v>
      </c>
      <c r="L458" s="10" t="s">
        <v>20</v>
      </c>
      <c r="M458" s="10" t="s">
        <v>5</v>
      </c>
      <c r="N458" s="10">
        <v>0</v>
      </c>
      <c r="O458" s="10"/>
    </row>
    <row r="459" spans="1:15" x14ac:dyDescent="0.25">
      <c r="A459" s="9" t="s">
        <v>507</v>
      </c>
      <c r="B459" s="15">
        <v>45299</v>
      </c>
      <c r="C459" s="9">
        <v>31</v>
      </c>
      <c r="D459" s="9" t="s">
        <v>17</v>
      </c>
      <c r="E459" s="16">
        <v>1208106</v>
      </c>
      <c r="F459" s="9">
        <v>847</v>
      </c>
      <c r="G459" s="16">
        <v>489285</v>
      </c>
      <c r="H459" s="17">
        <v>14</v>
      </c>
      <c r="I459" s="9">
        <v>36</v>
      </c>
      <c r="J459" s="9" t="s">
        <v>11</v>
      </c>
      <c r="K459" s="18">
        <v>0.37</v>
      </c>
      <c r="L459" s="9" t="s">
        <v>18</v>
      </c>
      <c r="M459" s="9" t="s">
        <v>3</v>
      </c>
      <c r="N459" s="9">
        <v>0</v>
      </c>
      <c r="O459" s="9"/>
    </row>
    <row r="460" spans="1:15" x14ac:dyDescent="0.25">
      <c r="A460" s="10" t="s">
        <v>508</v>
      </c>
      <c r="B460" s="11">
        <v>45552</v>
      </c>
      <c r="C460" s="10">
        <v>32</v>
      </c>
      <c r="D460" s="10" t="s">
        <v>9</v>
      </c>
      <c r="E460" s="12">
        <v>765883</v>
      </c>
      <c r="F460" s="10">
        <v>506</v>
      </c>
      <c r="G460" s="12">
        <v>1095873</v>
      </c>
      <c r="H460" s="13">
        <v>8</v>
      </c>
      <c r="I460" s="10">
        <v>60</v>
      </c>
      <c r="J460" s="10" t="s">
        <v>10</v>
      </c>
      <c r="K460" s="14">
        <v>0.6</v>
      </c>
      <c r="L460" s="10" t="s">
        <v>20</v>
      </c>
      <c r="M460" s="10" t="s">
        <v>5</v>
      </c>
      <c r="N460" s="10">
        <v>1</v>
      </c>
      <c r="O460" s="10"/>
    </row>
    <row r="461" spans="1:15" x14ac:dyDescent="0.25">
      <c r="A461" s="9" t="s">
        <v>509</v>
      </c>
      <c r="B461" s="15">
        <v>45545</v>
      </c>
      <c r="C461" s="9">
        <v>48</v>
      </c>
      <c r="D461" s="9" t="s">
        <v>16</v>
      </c>
      <c r="E461" s="16">
        <v>1532518</v>
      </c>
      <c r="F461" s="9">
        <v>550</v>
      </c>
      <c r="G461" s="16">
        <v>1197216</v>
      </c>
      <c r="H461" s="17">
        <v>16</v>
      </c>
      <c r="I461" s="9">
        <v>36</v>
      </c>
      <c r="J461" s="9" t="s">
        <v>11</v>
      </c>
      <c r="K461" s="18">
        <v>0.12</v>
      </c>
      <c r="L461" s="9" t="s">
        <v>19</v>
      </c>
      <c r="M461" s="9" t="s">
        <v>2</v>
      </c>
      <c r="N461" s="9">
        <v>1</v>
      </c>
      <c r="O461" s="9"/>
    </row>
    <row r="462" spans="1:15" x14ac:dyDescent="0.25">
      <c r="A462" s="10" t="s">
        <v>510</v>
      </c>
      <c r="B462" s="11">
        <v>45933</v>
      </c>
      <c r="C462" s="10">
        <v>52</v>
      </c>
      <c r="D462" s="10" t="s">
        <v>9</v>
      </c>
      <c r="E462" s="12">
        <v>1753297</v>
      </c>
      <c r="F462" s="10">
        <v>676</v>
      </c>
      <c r="G462" s="12">
        <v>149067</v>
      </c>
      <c r="H462" s="13">
        <v>20</v>
      </c>
      <c r="I462" s="10">
        <v>60</v>
      </c>
      <c r="J462" s="10" t="s">
        <v>12</v>
      </c>
      <c r="K462" s="14">
        <v>0.31</v>
      </c>
      <c r="L462" s="10" t="s">
        <v>21</v>
      </c>
      <c r="M462" s="10" t="s">
        <v>5</v>
      </c>
      <c r="N462" s="10">
        <v>0</v>
      </c>
      <c r="O462" s="10"/>
    </row>
    <row r="463" spans="1:15" x14ac:dyDescent="0.25">
      <c r="A463" s="9" t="s">
        <v>511</v>
      </c>
      <c r="B463" s="15">
        <v>45928</v>
      </c>
      <c r="C463" s="9">
        <v>59</v>
      </c>
      <c r="D463" s="9" t="s">
        <v>16</v>
      </c>
      <c r="E463" s="16">
        <v>1032433</v>
      </c>
      <c r="F463" s="9">
        <v>550</v>
      </c>
      <c r="G463" s="16">
        <v>1290993</v>
      </c>
      <c r="H463" s="17">
        <v>18</v>
      </c>
      <c r="I463" s="9">
        <v>36</v>
      </c>
      <c r="J463" s="9" t="s">
        <v>9</v>
      </c>
      <c r="K463" s="18">
        <v>0.25</v>
      </c>
      <c r="L463" s="9" t="s">
        <v>20</v>
      </c>
      <c r="M463" s="9" t="s">
        <v>5</v>
      </c>
      <c r="N463" s="9">
        <v>0</v>
      </c>
      <c r="O463" s="9"/>
    </row>
    <row r="464" spans="1:15" x14ac:dyDescent="0.25">
      <c r="A464" s="10" t="s">
        <v>512</v>
      </c>
      <c r="B464" s="11">
        <v>45912</v>
      </c>
      <c r="C464" s="10">
        <v>21</v>
      </c>
      <c r="D464" s="10" t="s">
        <v>17</v>
      </c>
      <c r="E464" s="12">
        <v>1135679</v>
      </c>
      <c r="F464" s="10">
        <v>465</v>
      </c>
      <c r="G464" s="12">
        <v>1083457</v>
      </c>
      <c r="H464" s="13">
        <v>8</v>
      </c>
      <c r="I464" s="10">
        <v>60</v>
      </c>
      <c r="J464" s="10" t="s">
        <v>11</v>
      </c>
      <c r="K464" s="14">
        <v>0.37</v>
      </c>
      <c r="L464" s="10" t="s">
        <v>21</v>
      </c>
      <c r="M464" s="10" t="s">
        <v>3</v>
      </c>
      <c r="N464" s="10">
        <v>0</v>
      </c>
      <c r="O464" s="10"/>
    </row>
    <row r="465" spans="1:15" x14ac:dyDescent="0.25">
      <c r="A465" s="9" t="s">
        <v>513</v>
      </c>
      <c r="B465" s="15">
        <v>45190</v>
      </c>
      <c r="C465" s="9">
        <v>60</v>
      </c>
      <c r="D465" s="9" t="s">
        <v>9</v>
      </c>
      <c r="E465" s="16">
        <v>515630</v>
      </c>
      <c r="F465" s="9">
        <v>752</v>
      </c>
      <c r="G465" s="16">
        <v>1967539</v>
      </c>
      <c r="H465" s="17">
        <v>6</v>
      </c>
      <c r="I465" s="9">
        <v>24</v>
      </c>
      <c r="J465" s="9" t="s">
        <v>12</v>
      </c>
      <c r="K465" s="18">
        <v>0.19</v>
      </c>
      <c r="L465" s="9" t="s">
        <v>21</v>
      </c>
      <c r="M465" s="9" t="s">
        <v>2</v>
      </c>
      <c r="N465" s="9">
        <v>0</v>
      </c>
      <c r="O465" s="9"/>
    </row>
    <row r="466" spans="1:15" x14ac:dyDescent="0.25">
      <c r="A466" s="10" t="s">
        <v>514</v>
      </c>
      <c r="B466" s="11">
        <v>45001</v>
      </c>
      <c r="C466" s="10">
        <v>63</v>
      </c>
      <c r="D466" s="10" t="s">
        <v>17</v>
      </c>
      <c r="E466" s="12">
        <v>441160</v>
      </c>
      <c r="F466" s="10">
        <v>684</v>
      </c>
      <c r="G466" s="12">
        <v>467062</v>
      </c>
      <c r="H466" s="13">
        <v>12</v>
      </c>
      <c r="I466" s="10">
        <v>36</v>
      </c>
      <c r="J466" s="10" t="s">
        <v>9</v>
      </c>
      <c r="K466" s="14">
        <v>0.33</v>
      </c>
      <c r="L466" s="10" t="s">
        <v>20</v>
      </c>
      <c r="M466" s="10" t="s">
        <v>2</v>
      </c>
      <c r="N466" s="10">
        <v>1</v>
      </c>
      <c r="O466" s="10"/>
    </row>
    <row r="467" spans="1:15" x14ac:dyDescent="0.25">
      <c r="A467" s="9" t="s">
        <v>515</v>
      </c>
      <c r="B467" s="15">
        <v>45543</v>
      </c>
      <c r="C467" s="9">
        <v>51</v>
      </c>
      <c r="D467" s="9" t="s">
        <v>16</v>
      </c>
      <c r="E467" s="16">
        <v>739866</v>
      </c>
      <c r="F467" s="9">
        <v>513</v>
      </c>
      <c r="G467" s="16">
        <v>1535884</v>
      </c>
      <c r="H467" s="17">
        <v>8</v>
      </c>
      <c r="I467" s="9">
        <v>60</v>
      </c>
      <c r="J467" s="9" t="s">
        <v>13</v>
      </c>
      <c r="K467" s="18">
        <v>0.33</v>
      </c>
      <c r="L467" s="9" t="s">
        <v>18</v>
      </c>
      <c r="M467" s="9" t="s">
        <v>3</v>
      </c>
      <c r="N467" s="9">
        <v>0</v>
      </c>
      <c r="O467" s="9"/>
    </row>
    <row r="468" spans="1:15" x14ac:dyDescent="0.25">
      <c r="A468" s="10" t="s">
        <v>516</v>
      </c>
      <c r="B468" s="11">
        <v>45024</v>
      </c>
      <c r="C468" s="10">
        <v>30</v>
      </c>
      <c r="D468" s="10" t="s">
        <v>17</v>
      </c>
      <c r="E468" s="12">
        <v>1915220</v>
      </c>
      <c r="F468" s="10">
        <v>373</v>
      </c>
      <c r="G468" s="12">
        <v>67867</v>
      </c>
      <c r="H468" s="13">
        <v>19</v>
      </c>
      <c r="I468" s="10">
        <v>60</v>
      </c>
      <c r="J468" s="10" t="s">
        <v>10</v>
      </c>
      <c r="K468" s="14">
        <v>0.32</v>
      </c>
      <c r="L468" s="10" t="s">
        <v>22</v>
      </c>
      <c r="M468" s="10" t="s">
        <v>4</v>
      </c>
      <c r="N468" s="10">
        <v>0</v>
      </c>
      <c r="O468" s="10"/>
    </row>
    <row r="469" spans="1:15" x14ac:dyDescent="0.25">
      <c r="A469" s="9" t="s">
        <v>517</v>
      </c>
      <c r="B469" s="15">
        <v>45766</v>
      </c>
      <c r="C469" s="9">
        <v>46</v>
      </c>
      <c r="D469" s="9" t="s">
        <v>16</v>
      </c>
      <c r="E469" s="16">
        <v>1738020</v>
      </c>
      <c r="F469" s="9">
        <v>571</v>
      </c>
      <c r="G469" s="16">
        <v>1703309</v>
      </c>
      <c r="H469" s="17">
        <v>6</v>
      </c>
      <c r="I469" s="9">
        <v>36</v>
      </c>
      <c r="J469" s="9" t="s">
        <v>14</v>
      </c>
      <c r="K469" s="18">
        <v>0.21</v>
      </c>
      <c r="L469" s="9" t="s">
        <v>20</v>
      </c>
      <c r="M469" s="9" t="s">
        <v>2</v>
      </c>
      <c r="N469" s="9">
        <v>1</v>
      </c>
      <c r="O469" s="9"/>
    </row>
    <row r="470" spans="1:15" x14ac:dyDescent="0.25">
      <c r="A470" s="10" t="s">
        <v>518</v>
      </c>
      <c r="B470" s="11">
        <v>45015</v>
      </c>
      <c r="C470" s="10">
        <v>32</v>
      </c>
      <c r="D470" s="10" t="s">
        <v>16</v>
      </c>
      <c r="E470" s="12">
        <v>1574703</v>
      </c>
      <c r="F470" s="10">
        <v>425</v>
      </c>
      <c r="G470" s="12">
        <v>1736420</v>
      </c>
      <c r="H470" s="13">
        <v>23</v>
      </c>
      <c r="I470" s="10">
        <v>36</v>
      </c>
      <c r="J470" s="10" t="s">
        <v>9</v>
      </c>
      <c r="K470" s="14">
        <v>0.27</v>
      </c>
      <c r="L470" s="10" t="s">
        <v>19</v>
      </c>
      <c r="M470" s="10" t="s">
        <v>4</v>
      </c>
      <c r="N470" s="10">
        <v>0</v>
      </c>
      <c r="O470" s="10"/>
    </row>
    <row r="471" spans="1:15" x14ac:dyDescent="0.25">
      <c r="A471" s="9" t="s">
        <v>519</v>
      </c>
      <c r="B471" s="15">
        <v>45981</v>
      </c>
      <c r="C471" s="9">
        <v>62</v>
      </c>
      <c r="D471" s="9" t="s">
        <v>16</v>
      </c>
      <c r="E471" s="16">
        <v>1637105</v>
      </c>
      <c r="F471" s="9">
        <v>660</v>
      </c>
      <c r="G471" s="16">
        <v>1232842</v>
      </c>
      <c r="H471" s="17">
        <v>22</v>
      </c>
      <c r="I471" s="9">
        <v>12</v>
      </c>
      <c r="J471" s="9" t="s">
        <v>13</v>
      </c>
      <c r="K471" s="18">
        <v>0.44</v>
      </c>
      <c r="L471" s="9" t="s">
        <v>21</v>
      </c>
      <c r="M471" s="9" t="s">
        <v>2</v>
      </c>
      <c r="N471" s="9">
        <v>0</v>
      </c>
      <c r="O471" s="9"/>
    </row>
    <row r="472" spans="1:15" x14ac:dyDescent="0.25">
      <c r="A472" s="10" t="s">
        <v>520</v>
      </c>
      <c r="B472" s="11">
        <v>45894</v>
      </c>
      <c r="C472" s="10">
        <v>24</v>
      </c>
      <c r="D472" s="10" t="s">
        <v>16</v>
      </c>
      <c r="E472" s="12">
        <v>1615487</v>
      </c>
      <c r="F472" s="10">
        <v>487</v>
      </c>
      <c r="G472" s="12">
        <v>1370838</v>
      </c>
      <c r="H472" s="13">
        <v>9</v>
      </c>
      <c r="I472" s="10">
        <v>12</v>
      </c>
      <c r="J472" s="10" t="s">
        <v>12</v>
      </c>
      <c r="K472" s="14">
        <v>0.34</v>
      </c>
      <c r="L472" s="10" t="s">
        <v>18</v>
      </c>
      <c r="M472" s="10" t="s">
        <v>4</v>
      </c>
      <c r="N472" s="10">
        <v>0</v>
      </c>
      <c r="O472" s="10"/>
    </row>
    <row r="473" spans="1:15" x14ac:dyDescent="0.25">
      <c r="A473" s="9" t="s">
        <v>521</v>
      </c>
      <c r="B473" s="15">
        <v>45130</v>
      </c>
      <c r="C473" s="9">
        <v>27</v>
      </c>
      <c r="D473" s="9" t="s">
        <v>9</v>
      </c>
      <c r="E473" s="16">
        <v>1922628</v>
      </c>
      <c r="F473" s="9">
        <v>558</v>
      </c>
      <c r="G473" s="16">
        <v>1254318</v>
      </c>
      <c r="H473" s="17">
        <v>20</v>
      </c>
      <c r="I473" s="9">
        <v>24</v>
      </c>
      <c r="J473" s="9" t="s">
        <v>12</v>
      </c>
      <c r="K473" s="18">
        <v>0.51</v>
      </c>
      <c r="L473" s="9" t="s">
        <v>20</v>
      </c>
      <c r="M473" s="9" t="s">
        <v>4</v>
      </c>
      <c r="N473" s="9">
        <v>1</v>
      </c>
      <c r="O473" s="9"/>
    </row>
    <row r="474" spans="1:15" x14ac:dyDescent="0.25">
      <c r="A474" s="10" t="s">
        <v>522</v>
      </c>
      <c r="B474" s="11">
        <v>45027</v>
      </c>
      <c r="C474" s="10">
        <v>23</v>
      </c>
      <c r="D474" s="10" t="s">
        <v>17</v>
      </c>
      <c r="E474" s="12">
        <v>1305630</v>
      </c>
      <c r="F474" s="10">
        <v>347</v>
      </c>
      <c r="G474" s="12">
        <v>149403</v>
      </c>
      <c r="H474" s="13">
        <v>16</v>
      </c>
      <c r="I474" s="10">
        <v>36</v>
      </c>
      <c r="J474" s="10" t="s">
        <v>12</v>
      </c>
      <c r="K474" s="14">
        <v>0.19</v>
      </c>
      <c r="L474" s="10" t="s">
        <v>18</v>
      </c>
      <c r="M474" s="10" t="s">
        <v>3</v>
      </c>
      <c r="N474" s="10">
        <v>0</v>
      </c>
      <c r="O474" s="10"/>
    </row>
    <row r="475" spans="1:15" x14ac:dyDescent="0.25">
      <c r="A475" s="9" t="s">
        <v>523</v>
      </c>
      <c r="B475" s="15">
        <v>45191</v>
      </c>
      <c r="C475" s="9">
        <v>34</v>
      </c>
      <c r="D475" s="9" t="s">
        <v>17</v>
      </c>
      <c r="E475" s="16">
        <v>2378231</v>
      </c>
      <c r="F475" s="9">
        <v>389</v>
      </c>
      <c r="G475" s="16">
        <v>583370</v>
      </c>
      <c r="H475" s="17">
        <v>7</v>
      </c>
      <c r="I475" s="9">
        <v>24</v>
      </c>
      <c r="J475" s="9" t="s">
        <v>13</v>
      </c>
      <c r="K475" s="18">
        <v>0.3</v>
      </c>
      <c r="L475" s="9" t="s">
        <v>18</v>
      </c>
      <c r="M475" s="9" t="s">
        <v>5</v>
      </c>
      <c r="N475" s="9">
        <v>0</v>
      </c>
      <c r="O475" s="9"/>
    </row>
    <row r="476" spans="1:15" x14ac:dyDescent="0.25">
      <c r="A476" s="10" t="s">
        <v>524</v>
      </c>
      <c r="B476" s="11">
        <v>45730</v>
      </c>
      <c r="C476" s="10">
        <v>23</v>
      </c>
      <c r="D476" s="10" t="s">
        <v>9</v>
      </c>
      <c r="E476" s="12">
        <v>1721751</v>
      </c>
      <c r="F476" s="10">
        <v>746</v>
      </c>
      <c r="G476" s="12">
        <v>941527</v>
      </c>
      <c r="H476" s="13">
        <v>13</v>
      </c>
      <c r="I476" s="10">
        <v>36</v>
      </c>
      <c r="J476" s="10" t="s">
        <v>11</v>
      </c>
      <c r="K476" s="14">
        <v>0.21</v>
      </c>
      <c r="L476" s="10" t="s">
        <v>18</v>
      </c>
      <c r="M476" s="10" t="s">
        <v>3</v>
      </c>
      <c r="N476" s="10">
        <v>0</v>
      </c>
      <c r="O476" s="10"/>
    </row>
    <row r="477" spans="1:15" x14ac:dyDescent="0.25">
      <c r="A477" s="9" t="s">
        <v>525</v>
      </c>
      <c r="B477" s="15">
        <v>44993</v>
      </c>
      <c r="C477" s="9">
        <v>28</v>
      </c>
      <c r="D477" s="9" t="s">
        <v>16</v>
      </c>
      <c r="E477" s="16">
        <v>1685566</v>
      </c>
      <c r="F477" s="9">
        <v>652</v>
      </c>
      <c r="G477" s="16">
        <v>1331626</v>
      </c>
      <c r="H477" s="17">
        <v>18</v>
      </c>
      <c r="I477" s="9">
        <v>60</v>
      </c>
      <c r="J477" s="9" t="s">
        <v>13</v>
      </c>
      <c r="K477" s="18">
        <v>0.49</v>
      </c>
      <c r="L477" s="9" t="s">
        <v>21</v>
      </c>
      <c r="M477" s="9" t="s">
        <v>2</v>
      </c>
      <c r="N477" s="9">
        <v>0</v>
      </c>
      <c r="O477" s="9"/>
    </row>
    <row r="478" spans="1:15" x14ac:dyDescent="0.25">
      <c r="A478" s="10" t="s">
        <v>526</v>
      </c>
      <c r="B478" s="11">
        <v>45887</v>
      </c>
      <c r="C478" s="10">
        <v>52</v>
      </c>
      <c r="D478" s="10" t="s">
        <v>16</v>
      </c>
      <c r="E478" s="12">
        <v>432881</v>
      </c>
      <c r="F478" s="10">
        <v>584</v>
      </c>
      <c r="G478" s="12">
        <v>399666</v>
      </c>
      <c r="H478" s="13">
        <v>6</v>
      </c>
      <c r="I478" s="10">
        <v>12</v>
      </c>
      <c r="J478" s="10" t="s">
        <v>14</v>
      </c>
      <c r="K478" s="14">
        <v>0.56000000000000005</v>
      </c>
      <c r="L478" s="10" t="s">
        <v>21</v>
      </c>
      <c r="M478" s="10" t="s">
        <v>3</v>
      </c>
      <c r="N478" s="10">
        <v>1</v>
      </c>
      <c r="O478" s="10"/>
    </row>
    <row r="479" spans="1:15" x14ac:dyDescent="0.25">
      <c r="A479" s="9" t="s">
        <v>527</v>
      </c>
      <c r="B479" s="15">
        <v>44998</v>
      </c>
      <c r="C479" s="9">
        <v>65</v>
      </c>
      <c r="D479" s="9" t="s">
        <v>9</v>
      </c>
      <c r="E479" s="16">
        <v>821986</v>
      </c>
      <c r="F479" s="9">
        <v>343</v>
      </c>
      <c r="G479" s="16">
        <v>368727</v>
      </c>
      <c r="H479" s="17">
        <v>18</v>
      </c>
      <c r="I479" s="9">
        <v>60</v>
      </c>
      <c r="J479" s="9" t="s">
        <v>9</v>
      </c>
      <c r="K479" s="18">
        <v>0.22</v>
      </c>
      <c r="L479" s="9" t="s">
        <v>19</v>
      </c>
      <c r="M479" s="9" t="s">
        <v>2</v>
      </c>
      <c r="N479" s="9">
        <v>0</v>
      </c>
      <c r="O479" s="9"/>
    </row>
    <row r="480" spans="1:15" x14ac:dyDescent="0.25">
      <c r="A480" s="10" t="s">
        <v>528</v>
      </c>
      <c r="B480" s="11">
        <v>45587</v>
      </c>
      <c r="C480" s="10">
        <v>35</v>
      </c>
      <c r="D480" s="10" t="s">
        <v>9</v>
      </c>
      <c r="E480" s="12">
        <v>1388911</v>
      </c>
      <c r="F480" s="10">
        <v>600</v>
      </c>
      <c r="G480" s="12">
        <v>713483</v>
      </c>
      <c r="H480" s="13">
        <v>18</v>
      </c>
      <c r="I480" s="10">
        <v>60</v>
      </c>
      <c r="J480" s="10" t="s">
        <v>13</v>
      </c>
      <c r="K480" s="14">
        <v>0.38</v>
      </c>
      <c r="L480" s="10" t="s">
        <v>20</v>
      </c>
      <c r="M480" s="10" t="s">
        <v>4</v>
      </c>
      <c r="N480" s="10">
        <v>0</v>
      </c>
      <c r="O480" s="10"/>
    </row>
    <row r="481" spans="1:15" x14ac:dyDescent="0.25">
      <c r="A481" s="9" t="s">
        <v>529</v>
      </c>
      <c r="B481" s="15">
        <v>45798</v>
      </c>
      <c r="C481" s="9">
        <v>28</v>
      </c>
      <c r="D481" s="9" t="s">
        <v>17</v>
      </c>
      <c r="E481" s="16">
        <v>1536879</v>
      </c>
      <c r="F481" s="9">
        <v>575</v>
      </c>
      <c r="G481" s="16">
        <v>1153151</v>
      </c>
      <c r="H481" s="17">
        <v>13</v>
      </c>
      <c r="I481" s="9">
        <v>24</v>
      </c>
      <c r="J481" s="9" t="s">
        <v>10</v>
      </c>
      <c r="K481" s="18">
        <v>0.2</v>
      </c>
      <c r="L481" s="9" t="s">
        <v>20</v>
      </c>
      <c r="M481" s="9" t="s">
        <v>2</v>
      </c>
      <c r="N481" s="9">
        <v>0</v>
      </c>
      <c r="O481" s="9"/>
    </row>
    <row r="482" spans="1:15" x14ac:dyDescent="0.25">
      <c r="A482" s="10" t="s">
        <v>530</v>
      </c>
      <c r="B482" s="11">
        <v>45343</v>
      </c>
      <c r="C482" s="10">
        <v>22</v>
      </c>
      <c r="D482" s="10" t="s">
        <v>16</v>
      </c>
      <c r="E482" s="12">
        <v>922822</v>
      </c>
      <c r="F482" s="10">
        <v>510</v>
      </c>
      <c r="G482" s="12">
        <v>322923</v>
      </c>
      <c r="H482" s="13">
        <v>24</v>
      </c>
      <c r="I482" s="10">
        <v>12</v>
      </c>
      <c r="J482" s="10" t="s">
        <v>14</v>
      </c>
      <c r="K482" s="14">
        <v>0.18</v>
      </c>
      <c r="L482" s="10" t="s">
        <v>21</v>
      </c>
      <c r="M482" s="10" t="s">
        <v>2</v>
      </c>
      <c r="N482" s="10">
        <v>0</v>
      </c>
      <c r="O482" s="10"/>
    </row>
    <row r="483" spans="1:15" x14ac:dyDescent="0.25">
      <c r="A483" s="9" t="s">
        <v>531</v>
      </c>
      <c r="B483" s="15">
        <v>46011</v>
      </c>
      <c r="C483" s="9">
        <v>35</v>
      </c>
      <c r="D483" s="9" t="s">
        <v>9</v>
      </c>
      <c r="E483" s="16">
        <v>1390182</v>
      </c>
      <c r="F483" s="9">
        <v>685</v>
      </c>
      <c r="G483" s="16">
        <v>1369782</v>
      </c>
      <c r="H483" s="17">
        <v>12</v>
      </c>
      <c r="I483" s="9">
        <v>12</v>
      </c>
      <c r="J483" s="9" t="s">
        <v>13</v>
      </c>
      <c r="K483" s="18">
        <v>0.24</v>
      </c>
      <c r="L483" s="9" t="s">
        <v>19</v>
      </c>
      <c r="M483" s="9" t="s">
        <v>4</v>
      </c>
      <c r="N483" s="9">
        <v>0</v>
      </c>
      <c r="O483" s="9"/>
    </row>
    <row r="484" spans="1:15" x14ac:dyDescent="0.25">
      <c r="A484" s="10" t="s">
        <v>532</v>
      </c>
      <c r="B484" s="11">
        <v>44949</v>
      </c>
      <c r="C484" s="10">
        <v>62</v>
      </c>
      <c r="D484" s="10" t="s">
        <v>16</v>
      </c>
      <c r="E484" s="12">
        <v>1789818</v>
      </c>
      <c r="F484" s="10">
        <v>745</v>
      </c>
      <c r="G484" s="12">
        <v>573189</v>
      </c>
      <c r="H484" s="13">
        <v>13</v>
      </c>
      <c r="I484" s="10">
        <v>24</v>
      </c>
      <c r="J484" s="10" t="s">
        <v>12</v>
      </c>
      <c r="K484" s="14">
        <v>0.27</v>
      </c>
      <c r="L484" s="10" t="s">
        <v>18</v>
      </c>
      <c r="M484" s="10" t="s">
        <v>3</v>
      </c>
      <c r="N484" s="10">
        <v>0</v>
      </c>
      <c r="O484" s="10"/>
    </row>
    <row r="485" spans="1:15" x14ac:dyDescent="0.25">
      <c r="A485" s="9" t="s">
        <v>533</v>
      </c>
      <c r="B485" s="15">
        <v>45792</v>
      </c>
      <c r="C485" s="9">
        <v>65</v>
      </c>
      <c r="D485" s="9" t="s">
        <v>17</v>
      </c>
      <c r="E485" s="16">
        <v>1378589</v>
      </c>
      <c r="F485" s="9">
        <v>623</v>
      </c>
      <c r="G485" s="16">
        <v>1881809</v>
      </c>
      <c r="H485" s="17">
        <v>23</v>
      </c>
      <c r="I485" s="9">
        <v>24</v>
      </c>
      <c r="J485" s="9" t="s">
        <v>9</v>
      </c>
      <c r="K485" s="18">
        <v>0.56000000000000005</v>
      </c>
      <c r="L485" s="9" t="s">
        <v>22</v>
      </c>
      <c r="M485" s="9" t="s">
        <v>3</v>
      </c>
      <c r="N485" s="9">
        <v>1</v>
      </c>
      <c r="O485" s="9"/>
    </row>
    <row r="486" spans="1:15" x14ac:dyDescent="0.25">
      <c r="A486" s="10" t="s">
        <v>534</v>
      </c>
      <c r="B486" s="11">
        <v>45232</v>
      </c>
      <c r="C486" s="10">
        <v>49</v>
      </c>
      <c r="D486" s="10" t="s">
        <v>16</v>
      </c>
      <c r="E486" s="12">
        <v>1966083</v>
      </c>
      <c r="F486" s="10">
        <v>595</v>
      </c>
      <c r="G486" s="12">
        <v>673505</v>
      </c>
      <c r="H486" s="13">
        <v>13</v>
      </c>
      <c r="I486" s="10">
        <v>12</v>
      </c>
      <c r="J486" s="10" t="s">
        <v>12</v>
      </c>
      <c r="K486" s="14">
        <v>0.11</v>
      </c>
      <c r="L486" s="10" t="s">
        <v>22</v>
      </c>
      <c r="M486" s="10" t="s">
        <v>2</v>
      </c>
      <c r="N486" s="10">
        <v>0</v>
      </c>
      <c r="O486" s="10"/>
    </row>
    <row r="487" spans="1:15" x14ac:dyDescent="0.25">
      <c r="A487" s="9" t="s">
        <v>535</v>
      </c>
      <c r="B487" s="15">
        <v>45696</v>
      </c>
      <c r="C487" s="9">
        <v>52</v>
      </c>
      <c r="D487" s="9" t="s">
        <v>9</v>
      </c>
      <c r="E487" s="16">
        <v>2076487</v>
      </c>
      <c r="F487" s="9">
        <v>776</v>
      </c>
      <c r="G487" s="16">
        <v>1043915</v>
      </c>
      <c r="H487" s="17">
        <v>6</v>
      </c>
      <c r="I487" s="9">
        <v>24</v>
      </c>
      <c r="J487" s="9" t="s">
        <v>11</v>
      </c>
      <c r="K487" s="18">
        <v>0.45</v>
      </c>
      <c r="L487" s="9" t="s">
        <v>18</v>
      </c>
      <c r="M487" s="9" t="s">
        <v>2</v>
      </c>
      <c r="N487" s="9">
        <v>0</v>
      </c>
      <c r="O487" s="9"/>
    </row>
    <row r="488" spans="1:15" x14ac:dyDescent="0.25">
      <c r="A488" s="10" t="s">
        <v>536</v>
      </c>
      <c r="B488" s="11">
        <v>45676</v>
      </c>
      <c r="C488" s="10">
        <v>51</v>
      </c>
      <c r="D488" s="10" t="s">
        <v>17</v>
      </c>
      <c r="E488" s="12">
        <v>1509214</v>
      </c>
      <c r="F488" s="10">
        <v>842</v>
      </c>
      <c r="G488" s="12">
        <v>519780</v>
      </c>
      <c r="H488" s="13">
        <v>16</v>
      </c>
      <c r="I488" s="10">
        <v>60</v>
      </c>
      <c r="J488" s="10" t="s">
        <v>10</v>
      </c>
      <c r="K488" s="14">
        <v>0.15</v>
      </c>
      <c r="L488" s="10" t="s">
        <v>20</v>
      </c>
      <c r="M488" s="10" t="s">
        <v>4</v>
      </c>
      <c r="N488" s="10">
        <v>1</v>
      </c>
      <c r="O488" s="10"/>
    </row>
    <row r="489" spans="1:15" x14ac:dyDescent="0.25">
      <c r="A489" s="9" t="s">
        <v>537</v>
      </c>
      <c r="B489" s="15">
        <v>45111</v>
      </c>
      <c r="C489" s="9">
        <v>49</v>
      </c>
      <c r="D489" s="9" t="s">
        <v>9</v>
      </c>
      <c r="E489" s="16">
        <v>2249372</v>
      </c>
      <c r="F489" s="9">
        <v>725</v>
      </c>
      <c r="G489" s="16">
        <v>1575098</v>
      </c>
      <c r="H489" s="17">
        <v>15</v>
      </c>
      <c r="I489" s="9">
        <v>36</v>
      </c>
      <c r="J489" s="9" t="s">
        <v>9</v>
      </c>
      <c r="K489" s="18">
        <v>0.35</v>
      </c>
      <c r="L489" s="9" t="s">
        <v>21</v>
      </c>
      <c r="M489" s="9" t="s">
        <v>2</v>
      </c>
      <c r="N489" s="9">
        <v>0</v>
      </c>
      <c r="O489" s="9"/>
    </row>
    <row r="490" spans="1:15" x14ac:dyDescent="0.25">
      <c r="A490" s="10" t="s">
        <v>538</v>
      </c>
      <c r="B490" s="11">
        <v>45519</v>
      </c>
      <c r="C490" s="10">
        <v>31</v>
      </c>
      <c r="D490" s="10" t="s">
        <v>16</v>
      </c>
      <c r="E490" s="12">
        <v>2014954</v>
      </c>
      <c r="F490" s="10">
        <v>448</v>
      </c>
      <c r="G490" s="12">
        <v>1441769</v>
      </c>
      <c r="H490" s="13">
        <v>12</v>
      </c>
      <c r="I490" s="10">
        <v>60</v>
      </c>
      <c r="J490" s="10" t="s">
        <v>14</v>
      </c>
      <c r="K490" s="14">
        <v>0.45</v>
      </c>
      <c r="L490" s="10" t="s">
        <v>18</v>
      </c>
      <c r="M490" s="10" t="s">
        <v>5</v>
      </c>
      <c r="N490" s="10">
        <v>0</v>
      </c>
      <c r="O490" s="10"/>
    </row>
    <row r="491" spans="1:15" x14ac:dyDescent="0.25">
      <c r="A491" s="9" t="s">
        <v>539</v>
      </c>
      <c r="B491" s="15">
        <v>45320</v>
      </c>
      <c r="C491" s="9">
        <v>35</v>
      </c>
      <c r="D491" s="9" t="s">
        <v>16</v>
      </c>
      <c r="E491" s="16">
        <v>1774730</v>
      </c>
      <c r="F491" s="9">
        <v>313</v>
      </c>
      <c r="G491" s="16">
        <v>888101</v>
      </c>
      <c r="H491" s="17">
        <v>9</v>
      </c>
      <c r="I491" s="9">
        <v>36</v>
      </c>
      <c r="J491" s="9" t="s">
        <v>9</v>
      </c>
      <c r="K491" s="18">
        <v>0.33</v>
      </c>
      <c r="L491" s="9" t="s">
        <v>18</v>
      </c>
      <c r="M491" s="9" t="s">
        <v>2</v>
      </c>
      <c r="N491" s="9">
        <v>0</v>
      </c>
      <c r="O491" s="9"/>
    </row>
    <row r="492" spans="1:15" x14ac:dyDescent="0.25">
      <c r="A492" s="10" t="s">
        <v>540</v>
      </c>
      <c r="B492" s="11">
        <v>45869</v>
      </c>
      <c r="C492" s="10">
        <v>24</v>
      </c>
      <c r="D492" s="10" t="s">
        <v>17</v>
      </c>
      <c r="E492" s="12">
        <v>2207982</v>
      </c>
      <c r="F492" s="10">
        <v>781</v>
      </c>
      <c r="G492" s="12">
        <v>776969</v>
      </c>
      <c r="H492" s="13">
        <v>17</v>
      </c>
      <c r="I492" s="10">
        <v>24</v>
      </c>
      <c r="J492" s="10" t="s">
        <v>14</v>
      </c>
      <c r="K492" s="14">
        <v>0.5</v>
      </c>
      <c r="L492" s="10" t="s">
        <v>22</v>
      </c>
      <c r="M492" s="10" t="s">
        <v>5</v>
      </c>
      <c r="N492" s="10">
        <v>0</v>
      </c>
      <c r="O492" s="10"/>
    </row>
    <row r="493" spans="1:15" x14ac:dyDescent="0.25">
      <c r="A493" s="9" t="s">
        <v>541</v>
      </c>
      <c r="B493" s="15">
        <v>45985</v>
      </c>
      <c r="C493" s="9">
        <v>45</v>
      </c>
      <c r="D493" s="9" t="s">
        <v>17</v>
      </c>
      <c r="E493" s="16">
        <v>459148</v>
      </c>
      <c r="F493" s="9">
        <v>402</v>
      </c>
      <c r="G493" s="16">
        <v>314264</v>
      </c>
      <c r="H493" s="17">
        <v>9</v>
      </c>
      <c r="I493" s="9">
        <v>24</v>
      </c>
      <c r="J493" s="9" t="s">
        <v>12</v>
      </c>
      <c r="K493" s="18">
        <v>0.59</v>
      </c>
      <c r="L493" s="9" t="s">
        <v>19</v>
      </c>
      <c r="M493" s="9" t="s">
        <v>5</v>
      </c>
      <c r="N493" s="9">
        <v>1</v>
      </c>
      <c r="O493" s="9"/>
    </row>
    <row r="494" spans="1:15" x14ac:dyDescent="0.25">
      <c r="A494" s="10" t="s">
        <v>542</v>
      </c>
      <c r="B494" s="11">
        <v>45493</v>
      </c>
      <c r="C494" s="10">
        <v>28</v>
      </c>
      <c r="D494" s="10" t="s">
        <v>16</v>
      </c>
      <c r="E494" s="12">
        <v>1028510</v>
      </c>
      <c r="F494" s="10">
        <v>818</v>
      </c>
      <c r="G494" s="12">
        <v>1413558</v>
      </c>
      <c r="H494" s="13">
        <v>18</v>
      </c>
      <c r="I494" s="10">
        <v>12</v>
      </c>
      <c r="J494" s="10" t="s">
        <v>12</v>
      </c>
      <c r="K494" s="14">
        <v>0.24</v>
      </c>
      <c r="L494" s="10" t="s">
        <v>18</v>
      </c>
      <c r="M494" s="10" t="s">
        <v>4</v>
      </c>
      <c r="N494" s="10">
        <v>0</v>
      </c>
      <c r="O494" s="10"/>
    </row>
    <row r="495" spans="1:15" x14ac:dyDescent="0.25">
      <c r="A495" s="9" t="s">
        <v>543</v>
      </c>
      <c r="B495" s="15">
        <v>45787</v>
      </c>
      <c r="C495" s="9">
        <v>28</v>
      </c>
      <c r="D495" s="9" t="s">
        <v>17</v>
      </c>
      <c r="E495" s="16">
        <v>2050965</v>
      </c>
      <c r="F495" s="9">
        <v>689</v>
      </c>
      <c r="G495" s="16">
        <v>125794</v>
      </c>
      <c r="H495" s="17">
        <v>9</v>
      </c>
      <c r="I495" s="9">
        <v>12</v>
      </c>
      <c r="J495" s="9" t="s">
        <v>14</v>
      </c>
      <c r="K495" s="18">
        <v>0.55000000000000004</v>
      </c>
      <c r="L495" s="9" t="s">
        <v>22</v>
      </c>
      <c r="M495" s="9" t="s">
        <v>3</v>
      </c>
      <c r="N495" s="9">
        <v>0</v>
      </c>
      <c r="O495" s="9"/>
    </row>
    <row r="496" spans="1:15" x14ac:dyDescent="0.25">
      <c r="A496" s="10" t="s">
        <v>544</v>
      </c>
      <c r="B496" s="11">
        <v>45811</v>
      </c>
      <c r="C496" s="10">
        <v>38</v>
      </c>
      <c r="D496" s="10" t="s">
        <v>9</v>
      </c>
      <c r="E496" s="12">
        <v>526907</v>
      </c>
      <c r="F496" s="10">
        <v>386</v>
      </c>
      <c r="G496" s="12">
        <v>1835380</v>
      </c>
      <c r="H496" s="13">
        <v>14</v>
      </c>
      <c r="I496" s="10">
        <v>36</v>
      </c>
      <c r="J496" s="10" t="s">
        <v>9</v>
      </c>
      <c r="K496" s="14">
        <v>0.24</v>
      </c>
      <c r="L496" s="10" t="s">
        <v>20</v>
      </c>
      <c r="M496" s="10" t="s">
        <v>3</v>
      </c>
      <c r="N496" s="10">
        <v>1</v>
      </c>
      <c r="O496" s="10"/>
    </row>
    <row r="497" spans="1:15" x14ac:dyDescent="0.25">
      <c r="A497" s="9" t="s">
        <v>545</v>
      </c>
      <c r="B497" s="15">
        <v>45270</v>
      </c>
      <c r="C497" s="9">
        <v>42</v>
      </c>
      <c r="D497" s="9" t="s">
        <v>16</v>
      </c>
      <c r="E497" s="16">
        <v>1174410</v>
      </c>
      <c r="F497" s="9">
        <v>611</v>
      </c>
      <c r="G497" s="16">
        <v>1643070</v>
      </c>
      <c r="H497" s="17">
        <v>14</v>
      </c>
      <c r="I497" s="9">
        <v>36</v>
      </c>
      <c r="J497" s="9" t="s">
        <v>14</v>
      </c>
      <c r="K497" s="18">
        <v>0.31</v>
      </c>
      <c r="L497" s="9" t="s">
        <v>18</v>
      </c>
      <c r="M497" s="9" t="s">
        <v>2</v>
      </c>
      <c r="N497" s="9">
        <v>0</v>
      </c>
      <c r="O497" s="9"/>
    </row>
    <row r="498" spans="1:15" x14ac:dyDescent="0.25">
      <c r="A498" s="10" t="s">
        <v>546</v>
      </c>
      <c r="B498" s="11">
        <v>44981</v>
      </c>
      <c r="C498" s="10">
        <v>21</v>
      </c>
      <c r="D498" s="10" t="s">
        <v>16</v>
      </c>
      <c r="E498" s="12">
        <v>640803</v>
      </c>
      <c r="F498" s="10">
        <v>596</v>
      </c>
      <c r="G498" s="12">
        <v>151485</v>
      </c>
      <c r="H498" s="13">
        <v>9</v>
      </c>
      <c r="I498" s="10">
        <v>24</v>
      </c>
      <c r="J498" s="10" t="s">
        <v>11</v>
      </c>
      <c r="K498" s="14">
        <v>0.48</v>
      </c>
      <c r="L498" s="10" t="s">
        <v>21</v>
      </c>
      <c r="M498" s="10" t="s">
        <v>2</v>
      </c>
      <c r="N498" s="10">
        <v>0</v>
      </c>
      <c r="O498" s="10"/>
    </row>
    <row r="499" spans="1:15" x14ac:dyDescent="0.25">
      <c r="A499" s="9" t="s">
        <v>547</v>
      </c>
      <c r="B499" s="15">
        <v>45260</v>
      </c>
      <c r="C499" s="9">
        <v>61</v>
      </c>
      <c r="D499" s="9" t="s">
        <v>17</v>
      </c>
      <c r="E499" s="16">
        <v>1752328</v>
      </c>
      <c r="F499" s="9">
        <v>717</v>
      </c>
      <c r="G499" s="16">
        <v>1603292</v>
      </c>
      <c r="H499" s="17">
        <v>14</v>
      </c>
      <c r="I499" s="9">
        <v>24</v>
      </c>
      <c r="J499" s="9" t="s">
        <v>9</v>
      </c>
      <c r="K499" s="18">
        <v>0.34</v>
      </c>
      <c r="L499" s="9" t="s">
        <v>19</v>
      </c>
      <c r="M499" s="9" t="s">
        <v>3</v>
      </c>
      <c r="N499" s="9">
        <v>0</v>
      </c>
      <c r="O499" s="9"/>
    </row>
    <row r="500" spans="1:15" x14ac:dyDescent="0.25">
      <c r="A500" s="10" t="s">
        <v>548</v>
      </c>
      <c r="B500" s="11">
        <v>45992</v>
      </c>
      <c r="C500" s="10">
        <v>33</v>
      </c>
      <c r="D500" s="10" t="s">
        <v>9</v>
      </c>
      <c r="E500" s="12">
        <v>687250</v>
      </c>
      <c r="F500" s="10">
        <v>495</v>
      </c>
      <c r="G500" s="12">
        <v>594985</v>
      </c>
      <c r="H500" s="13">
        <v>17</v>
      </c>
      <c r="I500" s="10">
        <v>36</v>
      </c>
      <c r="J500" s="10" t="s">
        <v>10</v>
      </c>
      <c r="K500" s="14">
        <v>0.36</v>
      </c>
      <c r="L500" s="10" t="s">
        <v>22</v>
      </c>
      <c r="M500" s="10" t="s">
        <v>4</v>
      </c>
      <c r="N500" s="10">
        <v>0</v>
      </c>
      <c r="O500" s="10"/>
    </row>
    <row r="501" spans="1:15" x14ac:dyDescent="0.25">
      <c r="A501" s="9" t="s">
        <v>549</v>
      </c>
      <c r="B501" s="15">
        <v>45781</v>
      </c>
      <c r="C501" s="9">
        <v>54</v>
      </c>
      <c r="D501" s="9" t="s">
        <v>17</v>
      </c>
      <c r="E501" s="16">
        <v>1260831</v>
      </c>
      <c r="F501" s="9">
        <v>447</v>
      </c>
      <c r="G501" s="16">
        <v>351589</v>
      </c>
      <c r="H501" s="17">
        <v>7</v>
      </c>
      <c r="I501" s="9">
        <v>12</v>
      </c>
      <c r="J501" s="9" t="s">
        <v>14</v>
      </c>
      <c r="K501" s="18">
        <v>0.31</v>
      </c>
      <c r="L501" s="9" t="s">
        <v>20</v>
      </c>
      <c r="M501" s="9" t="s">
        <v>2</v>
      </c>
      <c r="N501" s="9">
        <v>1</v>
      </c>
      <c r="O501" s="9"/>
    </row>
  </sheetData>
  <autoFilter ref="A1:O501" xr:uid="{00000000-0009-0000-0000-00000B000000}"/>
  <pageMargins left="0.3" right="0.3" top="0.5" bottom="0.5" header="0.3" footer="0.3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7365D"/>
    <pageSetUpPr fitToPage="1"/>
  </sheetPr>
  <dimension ref="A1:H85"/>
  <sheetViews>
    <sheetView showGridLines="0" zoomScale="85" zoomScaleNormal="100" workbookViewId="0">
      <pane ySplit="8" topLeftCell="A14" activePane="bottomLeft" state="frozen"/>
      <selection pane="bottomLeft" activeCell="I29" sqref="I29"/>
    </sheetView>
  </sheetViews>
  <sheetFormatPr defaultRowHeight="15" x14ac:dyDescent="0.25"/>
  <cols>
    <col min="1" max="1" width="24" style="2" bestFit="1" customWidth="1"/>
    <col min="2" max="2" width="14" style="2" bestFit="1" customWidth="1"/>
    <col min="3" max="3" width="18" style="2" bestFit="1" customWidth="1"/>
    <col min="4" max="4" width="24" style="2" bestFit="1" customWidth="1"/>
    <col min="5" max="5" width="16" style="2" bestFit="1" customWidth="1"/>
    <col min="6" max="6" width="4" style="2" customWidth="1"/>
    <col min="7" max="7" width="18" style="2" bestFit="1" customWidth="1"/>
    <col min="8" max="8" width="16" style="2" bestFit="1" customWidth="1"/>
  </cols>
  <sheetData>
    <row r="1" spans="1:8" ht="33.950000000000003" customHeight="1" x14ac:dyDescent="0.25">
      <c r="A1" s="43" t="s">
        <v>586</v>
      </c>
      <c r="B1" s="43"/>
      <c r="C1" s="43"/>
      <c r="D1" s="43"/>
      <c r="E1" s="43"/>
      <c r="F1" s="43"/>
      <c r="G1" s="43"/>
      <c r="H1" s="43"/>
    </row>
    <row r="2" spans="1:8" ht="21.95" customHeight="1" x14ac:dyDescent="0.25">
      <c r="A2" s="42" t="s">
        <v>587</v>
      </c>
      <c r="B2" s="42"/>
      <c r="C2" s="42"/>
      <c r="D2" s="42"/>
      <c r="E2" s="42"/>
      <c r="F2" s="42"/>
      <c r="G2" s="42"/>
      <c r="H2" s="42"/>
    </row>
    <row r="3" spans="1:8" ht="27.95" customHeight="1" x14ac:dyDescent="0.25">
      <c r="A3" s="32" t="s">
        <v>552</v>
      </c>
      <c r="B3" s="3"/>
      <c r="C3" s="32" t="s">
        <v>588</v>
      </c>
      <c r="D3" s="3"/>
      <c r="E3" s="32" t="s">
        <v>556</v>
      </c>
      <c r="F3" s="3"/>
      <c r="G3" s="32" t="s">
        <v>555</v>
      </c>
    </row>
    <row r="4" spans="1:8" ht="30" customHeight="1" x14ac:dyDescent="0.35">
      <c r="A4" s="33">
        <f>Analysis!B3</f>
        <v>509868608</v>
      </c>
      <c r="B4" s="5"/>
      <c r="C4" s="34">
        <f>Analysis!B4</f>
        <v>500</v>
      </c>
      <c r="D4" s="6"/>
      <c r="E4" s="33">
        <f>Analysis!B5</f>
        <v>1019737.216</v>
      </c>
      <c r="F4" s="5"/>
      <c r="G4" s="35">
        <f>Analysis!B10</f>
        <v>0.29599999999999999</v>
      </c>
    </row>
    <row r="6" spans="1:8" ht="27.95" customHeight="1" x14ac:dyDescent="0.25">
      <c r="A6" s="32" t="s">
        <v>553</v>
      </c>
      <c r="B6" s="3"/>
      <c r="C6" s="32" t="s">
        <v>566</v>
      </c>
      <c r="D6" s="3"/>
      <c r="E6" s="32" t="s">
        <v>557</v>
      </c>
      <c r="F6" s="3"/>
      <c r="G6" s="32" t="s">
        <v>565</v>
      </c>
    </row>
    <row r="7" spans="1:8" ht="30" customHeight="1" x14ac:dyDescent="0.3">
      <c r="A7" s="36">
        <f>Analysis!B11</f>
        <v>148</v>
      </c>
      <c r="B7" s="4"/>
      <c r="C7" s="36">
        <f>Analysis!B13</f>
        <v>128</v>
      </c>
      <c r="D7" s="4"/>
      <c r="E7" s="36">
        <f>Analysis!B14</f>
        <v>110</v>
      </c>
      <c r="F7" s="4"/>
      <c r="G7" s="36">
        <f>Analysis!B12</f>
        <v>142</v>
      </c>
    </row>
    <row r="9" spans="1:8" ht="15.75" customHeight="1" x14ac:dyDescent="0.25">
      <c r="A9" s="28" t="s">
        <v>581</v>
      </c>
      <c r="B9" s="28" t="s">
        <v>564</v>
      </c>
      <c r="D9" s="28" t="s">
        <v>563</v>
      </c>
      <c r="E9" s="28" t="s">
        <v>564</v>
      </c>
    </row>
    <row r="10" spans="1:8" x14ac:dyDescent="0.25">
      <c r="A10" s="10" t="s">
        <v>2</v>
      </c>
      <c r="B10" s="10">
        <f>Analysis!E59</f>
        <v>128</v>
      </c>
      <c r="D10" s="37" t="s">
        <v>11</v>
      </c>
      <c r="E10" s="37">
        <f>Analysis!E11</f>
        <v>83</v>
      </c>
    </row>
    <row r="11" spans="1:8" x14ac:dyDescent="0.25">
      <c r="A11" s="9" t="s">
        <v>3</v>
      </c>
      <c r="B11" s="9">
        <f>Analysis!E60</f>
        <v>142</v>
      </c>
      <c r="D11" s="38" t="s">
        <v>10</v>
      </c>
      <c r="E11" s="38">
        <f>Analysis!E12</f>
        <v>80</v>
      </c>
    </row>
    <row r="12" spans="1:8" x14ac:dyDescent="0.25">
      <c r="A12" s="10" t="s">
        <v>5</v>
      </c>
      <c r="B12" s="10">
        <f>Analysis!E61</f>
        <v>110</v>
      </c>
      <c r="D12" s="37" t="s">
        <v>12</v>
      </c>
      <c r="E12" s="37">
        <f>Analysis!E13</f>
        <v>88</v>
      </c>
    </row>
    <row r="13" spans="1:8" x14ac:dyDescent="0.25">
      <c r="A13" s="9" t="s">
        <v>4</v>
      </c>
      <c r="B13" s="9">
        <f>Analysis!E62</f>
        <v>120</v>
      </c>
      <c r="D13" s="38" t="s">
        <v>9</v>
      </c>
      <c r="E13" s="38">
        <f>Analysis!E14</f>
        <v>86</v>
      </c>
    </row>
    <row r="14" spans="1:8" x14ac:dyDescent="0.25">
      <c r="D14" s="37" t="s">
        <v>14</v>
      </c>
      <c r="E14" s="37">
        <f>Analysis!E15</f>
        <v>91</v>
      </c>
    </row>
    <row r="15" spans="1:8" x14ac:dyDescent="0.25">
      <c r="D15" s="38" t="s">
        <v>13</v>
      </c>
      <c r="E15" s="38">
        <f>Analysis!E16</f>
        <v>72</v>
      </c>
    </row>
    <row r="18" spans="4:8" x14ac:dyDescent="0.25">
      <c r="D18" s="28" t="s">
        <v>577</v>
      </c>
      <c r="E18" s="28" t="s">
        <v>555</v>
      </c>
      <c r="G18" s="28" t="s">
        <v>579</v>
      </c>
      <c r="H18" s="28" t="s">
        <v>555</v>
      </c>
    </row>
    <row r="19" spans="4:8" ht="15.75" customHeight="1" x14ac:dyDescent="0.25">
      <c r="D19" s="38" t="s">
        <v>26</v>
      </c>
      <c r="E19" s="39">
        <f>Analysis!G42</f>
        <v>0.41379310344827586</v>
      </c>
      <c r="G19" s="38" t="s">
        <v>28</v>
      </c>
      <c r="H19" s="39">
        <f>Analysis!G51</f>
        <v>0.27272727272727271</v>
      </c>
    </row>
    <row r="20" spans="4:8" x14ac:dyDescent="0.25">
      <c r="D20" s="37" t="s">
        <v>24</v>
      </c>
      <c r="E20" s="40">
        <f>Analysis!G43</f>
        <v>0.18292682926829268</v>
      </c>
      <c r="G20" s="37" t="s">
        <v>29</v>
      </c>
      <c r="H20" s="40">
        <f>Analysis!G52</f>
        <v>0.17989417989417988</v>
      </c>
    </row>
    <row r="21" spans="4:8" x14ac:dyDescent="0.25">
      <c r="D21" s="38" t="s">
        <v>25</v>
      </c>
      <c r="E21" s="39">
        <f>Analysis!G44</f>
        <v>0.13793103448275862</v>
      </c>
      <c r="G21" s="38" t="s">
        <v>27</v>
      </c>
      <c r="H21" s="39">
        <f>Analysis!G53</f>
        <v>0.41037735849056606</v>
      </c>
    </row>
    <row r="22" spans="4:8" x14ac:dyDescent="0.25">
      <c r="D22" s="37" t="s">
        <v>23</v>
      </c>
      <c r="E22" s="40">
        <f>Analysis!G45</f>
        <v>0.17171717171717171</v>
      </c>
    </row>
    <row r="85" spans="1:1" x14ac:dyDescent="0.25">
      <c r="A85" s="41" t="s">
        <v>589</v>
      </c>
    </row>
  </sheetData>
  <mergeCells count="2">
    <mergeCell ref="A2:H2"/>
    <mergeCell ref="A1:H1"/>
  </mergeCells>
  <pageMargins left="0.3" right="0.3" top="0.5" bottom="0.5" header="0.3" footer="0.3"/>
  <pageSetup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Pivot Analysis</vt:lpstr>
      <vt:lpstr>Pivot Loan Purpose Analysis</vt:lpstr>
      <vt:lpstr>Pivot Employment</vt:lpstr>
      <vt:lpstr>Pivot Region</vt:lpstr>
      <vt:lpstr>Pivot Credit Score</vt:lpstr>
      <vt:lpstr>Pivot DTI</vt:lpstr>
      <vt:lpstr>Pivot Monthly</vt:lpstr>
      <vt:lpstr>Pivot Status Amount</vt:lpstr>
      <vt:lpstr>Pivot Purpose Amount</vt:lpstr>
      <vt:lpstr>Working Data</vt:lpstr>
      <vt:lpstr>Analysis</vt:lpstr>
      <vt:lpstr>Raw Data</vt:lpstr>
      <vt:lpstr>Dashboard</vt:lpstr>
      <vt:lpstr>Analysis!Print_Area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hasan</dc:creator>
  <cp:lastModifiedBy>ali hasan</cp:lastModifiedBy>
  <dcterms:created xsi:type="dcterms:W3CDTF">2026-09-29T09:13:06Z</dcterms:created>
  <dcterms:modified xsi:type="dcterms:W3CDTF">2026-09-30T05:42:20Z</dcterms:modified>
</cp:coreProperties>
</file>